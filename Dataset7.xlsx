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autoCompressPictures="0"/>
  <mc:AlternateContent xmlns:mc="http://schemas.openxmlformats.org/markup-compatibility/2006">
    <mc:Choice Requires="x15">
      <x15ac:absPath xmlns:x15ac="http://schemas.microsoft.com/office/spreadsheetml/2010/11/ac" url="/Users/jean-baptiste/Dropbox/Lichenibacterium/For-Submission-to-SAM/"/>
    </mc:Choice>
  </mc:AlternateContent>
  <xr:revisionPtr revIDLastSave="0" documentId="13_ncr:1_{C465B4CD-B58C-C140-9CC0-F03D57323C86}" xr6:coauthVersionLast="47" xr6:coauthVersionMax="47" xr10:uidLastSave="{00000000-0000-0000-0000-000000000000}"/>
  <bookViews>
    <workbookView xWindow="0" yWindow="760" windowWidth="29820" windowHeight="17160" xr2:uid="{00000000-000D-0000-FFFF-FFFF00000000}"/>
  </bookViews>
  <sheets>
    <sheet name="Feuil1" sheetId="1" r:id="rId1"/>
  </sheets>
  <definedNames>
    <definedName name="_xlnm.Print_Area" localSheetId="0">Feuil1!$L$1:$V$22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37" i="1" l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C32" i="1"/>
  <c r="C31" i="1"/>
  <c r="C30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C28" i="1"/>
  <c r="C27" i="1"/>
  <c r="C26" i="1"/>
  <c r="AL24" i="1"/>
  <c r="J23" i="1" l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M24" i="1"/>
  <c r="AN24" i="1"/>
  <c r="AO24" i="1"/>
  <c r="AP24" i="1"/>
  <c r="AQ24" i="1"/>
  <c r="AR24" i="1"/>
  <c r="AS24" i="1"/>
  <c r="AT24" i="1"/>
  <c r="D23" i="1"/>
  <c r="E23" i="1"/>
  <c r="F23" i="1"/>
  <c r="G23" i="1"/>
  <c r="H23" i="1"/>
  <c r="I23" i="1"/>
  <c r="D24" i="1"/>
  <c r="E24" i="1"/>
  <c r="F24" i="1"/>
  <c r="G24" i="1"/>
  <c r="H24" i="1"/>
  <c r="I24" i="1"/>
  <c r="C24" i="1"/>
  <c r="C23" i="1"/>
  <c r="AJ22" i="1"/>
  <c r="C22" i="1"/>
  <c r="AT22" i="1" l="1"/>
  <c r="AS22" i="1"/>
  <c r="AR22" i="1"/>
  <c r="AQ22" i="1"/>
  <c r="AP22" i="1"/>
  <c r="AO22" i="1"/>
  <c r="AN22" i="1"/>
  <c r="AM22" i="1"/>
  <c r="AL22" i="1"/>
  <c r="AK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W33" i="1" s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Q36" i="1"/>
  <c r="R36" i="1"/>
  <c r="F36" i="1"/>
  <c r="G36" i="1" s="1"/>
  <c r="J36" i="1"/>
  <c r="K36" i="1"/>
  <c r="M36" i="1"/>
  <c r="N36" i="1"/>
  <c r="O36" i="1"/>
  <c r="Q37" i="1"/>
  <c r="F37" i="1"/>
  <c r="G37" i="1"/>
  <c r="J37" i="1"/>
  <c r="K37" i="1"/>
  <c r="L37" i="1" s="1"/>
  <c r="M37" i="1"/>
  <c r="N37" i="1"/>
  <c r="O37" i="1"/>
  <c r="Q38" i="1"/>
  <c r="R38" i="1"/>
  <c r="F38" i="1"/>
  <c r="G38" i="1"/>
  <c r="J38" i="1"/>
  <c r="K38" i="1"/>
  <c r="M38" i="1"/>
  <c r="N38" i="1"/>
  <c r="O38" i="1"/>
  <c r="Q39" i="1"/>
  <c r="R39" i="1"/>
  <c r="F39" i="1"/>
  <c r="G39" i="1" s="1"/>
  <c r="J39" i="1"/>
  <c r="K39" i="1"/>
  <c r="M39" i="1"/>
  <c r="N39" i="1"/>
  <c r="O39" i="1"/>
  <c r="Q40" i="1"/>
  <c r="R40" i="1"/>
  <c r="F40" i="1"/>
  <c r="G40" i="1" s="1"/>
  <c r="J40" i="1"/>
  <c r="K40" i="1"/>
  <c r="M40" i="1"/>
  <c r="N40" i="1"/>
  <c r="O40" i="1"/>
  <c r="Q41" i="1"/>
  <c r="R41" i="1"/>
  <c r="F41" i="1"/>
  <c r="G41" i="1" s="1"/>
  <c r="J41" i="1"/>
  <c r="K41" i="1"/>
  <c r="M41" i="1"/>
  <c r="N41" i="1"/>
  <c r="O41" i="1"/>
  <c r="Q42" i="1"/>
  <c r="R42" i="1"/>
  <c r="F42" i="1"/>
  <c r="G42" i="1" s="1"/>
  <c r="J42" i="1"/>
  <c r="K42" i="1"/>
  <c r="M42" i="1"/>
  <c r="N42" i="1"/>
  <c r="O42" i="1"/>
  <c r="Q43" i="1"/>
  <c r="R43" i="1"/>
  <c r="F43" i="1"/>
  <c r="G43" i="1"/>
  <c r="J43" i="1"/>
  <c r="K43" i="1"/>
  <c r="M43" i="1"/>
  <c r="N43" i="1"/>
  <c r="O43" i="1"/>
  <c r="Q44" i="1"/>
  <c r="R44" i="1"/>
  <c r="F44" i="1"/>
  <c r="G44" i="1" s="1"/>
  <c r="J44" i="1"/>
  <c r="K44" i="1"/>
  <c r="M44" i="1"/>
  <c r="N44" i="1"/>
  <c r="O44" i="1"/>
  <c r="Q45" i="1"/>
  <c r="R45" i="1"/>
  <c r="F45" i="1"/>
  <c r="G45" i="1" s="1"/>
  <c r="J45" i="1"/>
  <c r="K45" i="1"/>
  <c r="M45" i="1"/>
  <c r="N45" i="1"/>
  <c r="O45" i="1"/>
  <c r="Q46" i="1"/>
  <c r="R46" i="1"/>
  <c r="F46" i="1"/>
  <c r="J46" i="1"/>
  <c r="K46" i="1"/>
  <c r="M46" i="1"/>
  <c r="N46" i="1"/>
  <c r="O46" i="1"/>
  <c r="Q47" i="1"/>
  <c r="R47" i="1"/>
  <c r="F47" i="1"/>
  <c r="G47" i="1" s="1"/>
  <c r="J47" i="1"/>
  <c r="K47" i="1"/>
  <c r="M47" i="1"/>
  <c r="N47" i="1"/>
  <c r="O47" i="1"/>
  <c r="Q48" i="1"/>
  <c r="R48" i="1"/>
  <c r="F48" i="1"/>
  <c r="G48" i="1" s="1"/>
  <c r="J48" i="1"/>
  <c r="K48" i="1"/>
  <c r="M48" i="1"/>
  <c r="N48" i="1"/>
  <c r="O48" i="1"/>
  <c r="Q49" i="1"/>
  <c r="R49" i="1"/>
  <c r="F49" i="1"/>
  <c r="G49" i="1" s="1"/>
  <c r="J49" i="1"/>
  <c r="K49" i="1"/>
  <c r="M49" i="1"/>
  <c r="N49" i="1"/>
  <c r="O49" i="1"/>
  <c r="Q50" i="1"/>
  <c r="R50" i="1"/>
  <c r="F50" i="1"/>
  <c r="G50" i="1"/>
  <c r="J50" i="1"/>
  <c r="K50" i="1"/>
  <c r="M50" i="1"/>
  <c r="N50" i="1"/>
  <c r="O50" i="1"/>
  <c r="Q51" i="1"/>
  <c r="R51" i="1"/>
  <c r="F51" i="1"/>
  <c r="G51" i="1" s="1"/>
  <c r="J51" i="1"/>
  <c r="K51" i="1"/>
  <c r="M51" i="1"/>
  <c r="N51" i="1"/>
  <c r="O51" i="1"/>
  <c r="Q52" i="1"/>
  <c r="R52" i="1"/>
  <c r="F52" i="1"/>
  <c r="J52" i="1"/>
  <c r="K52" i="1"/>
  <c r="M52" i="1"/>
  <c r="N52" i="1"/>
  <c r="O52" i="1"/>
  <c r="Q53" i="1"/>
  <c r="R53" i="1"/>
  <c r="F53" i="1"/>
  <c r="G53" i="1" s="1"/>
  <c r="J53" i="1"/>
  <c r="K53" i="1"/>
  <c r="M53" i="1"/>
  <c r="N53" i="1"/>
  <c r="O53" i="1"/>
  <c r="F35" i="1"/>
  <c r="G35" i="1" s="1"/>
  <c r="J35" i="1"/>
  <c r="K35" i="1"/>
  <c r="M35" i="1"/>
  <c r="N35" i="1"/>
  <c r="O35" i="1"/>
  <c r="Q35" i="1"/>
  <c r="R35" i="1"/>
  <c r="C35" i="1"/>
  <c r="D35" i="1"/>
  <c r="E35" i="1"/>
  <c r="B5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L36" i="1" l="1"/>
  <c r="C58" i="1"/>
  <c r="J58" i="1"/>
  <c r="R58" i="1"/>
  <c r="Q58" i="1"/>
  <c r="D58" i="1"/>
  <c r="V33" i="1"/>
  <c r="P41" i="1"/>
  <c r="M58" i="1"/>
  <c r="S33" i="1"/>
  <c r="T33" i="1"/>
  <c r="X33" i="1"/>
  <c r="O58" i="1"/>
  <c r="N58" i="1"/>
  <c r="E58" i="1"/>
  <c r="L46" i="1"/>
  <c r="P40" i="1"/>
  <c r="K58" i="1"/>
  <c r="U33" i="1"/>
  <c r="F58" i="1"/>
  <c r="Y33" i="1"/>
  <c r="P47" i="1"/>
  <c r="P37" i="1"/>
  <c r="S37" i="1" s="1"/>
  <c r="T37" i="1" s="1"/>
  <c r="P35" i="1"/>
  <c r="L48" i="1"/>
  <c r="L49" i="1"/>
  <c r="L42" i="1"/>
  <c r="P52" i="1"/>
  <c r="P53" i="1"/>
  <c r="P45" i="1"/>
  <c r="L53" i="1"/>
  <c r="L44" i="1"/>
  <c r="P46" i="1"/>
  <c r="L35" i="1"/>
  <c r="P49" i="1"/>
  <c r="L45" i="1"/>
  <c r="P36" i="1"/>
  <c r="S36" i="1" s="1"/>
  <c r="T36" i="1" s="1"/>
  <c r="P50" i="1"/>
  <c r="L50" i="1"/>
  <c r="L47" i="1"/>
  <c r="L39" i="1"/>
  <c r="P39" i="1"/>
  <c r="P51" i="1"/>
  <c r="L51" i="1"/>
  <c r="P43" i="1"/>
  <c r="L38" i="1"/>
  <c r="P42" i="1"/>
  <c r="P44" i="1"/>
  <c r="L43" i="1"/>
  <c r="L40" i="1"/>
  <c r="P38" i="1"/>
  <c r="L52" i="1"/>
  <c r="L41" i="1"/>
  <c r="P48" i="1"/>
  <c r="G52" i="1"/>
  <c r="G46" i="1"/>
  <c r="G58" i="1" s="1"/>
  <c r="S40" i="1" l="1"/>
  <c r="T40" i="1" s="1"/>
  <c r="S53" i="1"/>
  <c r="T53" i="1" s="1"/>
  <c r="S41" i="1"/>
  <c r="T41" i="1" s="1"/>
  <c r="S47" i="1"/>
  <c r="T47" i="1" s="1"/>
  <c r="L58" i="1"/>
  <c r="P58" i="1"/>
  <c r="S35" i="1"/>
  <c r="S48" i="1"/>
  <c r="T48" i="1" s="1"/>
  <c r="S44" i="1"/>
  <c r="T44" i="1" s="1"/>
  <c r="S42" i="1"/>
  <c r="T42" i="1" s="1"/>
  <c r="S49" i="1"/>
  <c r="T49" i="1" s="1"/>
  <c r="S38" i="1"/>
  <c r="T38" i="1" s="1"/>
  <c r="S50" i="1"/>
  <c r="T50" i="1" s="1"/>
  <c r="S45" i="1"/>
  <c r="T45" i="1" s="1"/>
  <c r="S51" i="1"/>
  <c r="T51" i="1" s="1"/>
  <c r="S39" i="1"/>
  <c r="T39" i="1" s="1"/>
  <c r="S43" i="1"/>
  <c r="T43" i="1" s="1"/>
  <c r="S46" i="1"/>
  <c r="T46" i="1" s="1"/>
  <c r="S52" i="1"/>
  <c r="T52" i="1" s="1"/>
  <c r="S58" i="1" l="1"/>
  <c r="T35" i="1"/>
  <c r="T55" i="1" s="1"/>
</calcChain>
</file>

<file path=xl/sharedStrings.xml><?xml version="1.0" encoding="utf-8"?>
<sst xmlns="http://schemas.openxmlformats.org/spreadsheetml/2006/main" count="120" uniqueCount="93">
  <si>
    <t>Bark Temperate Europe,Bark,PRJNA290145</t>
  </si>
  <si>
    <t>Endophyte Greenhouse  Asia,Lycopodes,PRJNA867490</t>
  </si>
  <si>
    <t>Epiphyte Tropical South_America,Tillandsia,PRJNA1134710</t>
  </si>
  <si>
    <t>Leaves Greenhouse Europe,Grapevine,PRJEB59055</t>
  </si>
  <si>
    <t>Leaves Subtropical Asia,Bamboo,PRJNA718425</t>
  </si>
  <si>
    <t>Leaves Subtropical Asia,Forest,PRJNA1001021-5k</t>
  </si>
  <si>
    <t>Leaves Temperate Asia,Forest,PRJNA1001021-5k</t>
  </si>
  <si>
    <t>Leaves Temperate Europe,Forest,PRJEB36420</t>
  </si>
  <si>
    <t>Leaves Temperate Europe,Grapevine,PRJEB59055</t>
  </si>
  <si>
    <t>Leaves Temperate North_America,Forest,PRJNA729807</t>
  </si>
  <si>
    <t>Leaves Tropical Asia,Forest,PRJNA1001021-5k</t>
  </si>
  <si>
    <t>Leaves Tropical Europe,Kiwi,PRJNA665460</t>
  </si>
  <si>
    <t>Lichen Temperate Europe,Bark,PRJNA290145</t>
  </si>
  <si>
    <t>Lichen Tropical South_America,Lichen,PRJNA558995</t>
  </si>
  <si>
    <t>Moss Temperate Europe,Bark,PRJNA290145</t>
  </si>
  <si>
    <t>Moss Tundra Europe,Moss,PRJEB40635</t>
  </si>
  <si>
    <t>Photovoltaic panel Tropical South_America,Surface,PRJEB43933</t>
  </si>
  <si>
    <t>Snow North_America,Surface,PRJNA948675</t>
  </si>
  <si>
    <t>Phylum.Pseudomonadota</t>
  </si>
  <si>
    <t>Phylum.Cyanobacteriota</t>
  </si>
  <si>
    <t>Phylum.Actinomycetota</t>
  </si>
  <si>
    <t>Phylum.Bacteroidota</t>
  </si>
  <si>
    <t>Phylum.Bacillota</t>
  </si>
  <si>
    <t>Phylum.Acidobacteriota</t>
  </si>
  <si>
    <t>Phylum.other_Bacteria</t>
  </si>
  <si>
    <t>Class.Alphaproteobacteria</t>
  </si>
  <si>
    <t>Class.Gammaproteobacteria</t>
  </si>
  <si>
    <t>Class.other_Pseudomonadota</t>
  </si>
  <si>
    <t>Order.Hyphomicrobiales</t>
  </si>
  <si>
    <t>Order.Sphingomonadales</t>
  </si>
  <si>
    <t>Order.Acetobacterales</t>
  </si>
  <si>
    <t>Order.Rickettsiales</t>
  </si>
  <si>
    <t>Order.Rhodobacterales</t>
  </si>
  <si>
    <t>Order.other_Alphaproteobacteria</t>
  </si>
  <si>
    <t>FamilyG.Beijerinckiaceae</t>
  </si>
  <si>
    <t>FamilyG.Lichenihabitantaceae</t>
  </si>
  <si>
    <t>FamilyG.Methylobacteriaceae</t>
  </si>
  <si>
    <t>FamilyG.Methylocystaceae</t>
  </si>
  <si>
    <t>FamilyG.Rhizobiaceae</t>
  </si>
  <si>
    <t>FamilyG.Xanthobacteraceae</t>
  </si>
  <si>
    <t>FamilyG.other_Hyphomicrobiales</t>
  </si>
  <si>
    <t>FamilyS.Beijerinckiaceae</t>
  </si>
  <si>
    <t>FamilyS.Lichenihabitantaceae</t>
  </si>
  <si>
    <t>FamilyS.Methylobacteriaceae</t>
  </si>
  <si>
    <t>FamilyS.Methylocystaceae</t>
  </si>
  <si>
    <t>FamilyS.Rhizobiaceae</t>
  </si>
  <si>
    <t>FamilyS.Xanthobacteraceae</t>
  </si>
  <si>
    <t>FamilyS.other_Hyphomicrobiales</t>
  </si>
  <si>
    <t>GenusG.Enterovirga</t>
  </si>
  <si>
    <t>GenusG.JAJXWB01</t>
  </si>
  <si>
    <t>GenusG.Lichenibacterium</t>
  </si>
  <si>
    <t>GenusG.Lichenifustis</t>
  </si>
  <si>
    <t>GenusG.Lichenihabitans</t>
  </si>
  <si>
    <t>GenusG.Methylobacterium</t>
  </si>
  <si>
    <t>GenusG.RHAL1</t>
  </si>
  <si>
    <t>GenusS.Enterovirga</t>
  </si>
  <si>
    <t>GenusS.JAJXWB01</t>
  </si>
  <si>
    <t>GenusS.Lichenibacterium</t>
  </si>
  <si>
    <t>GenusS.Lichenifustis</t>
  </si>
  <si>
    <t>GenusS.Lichenihabitans</t>
  </si>
  <si>
    <t>GenusS.Methylobacterium</t>
  </si>
  <si>
    <t>GenusS.RHAL1</t>
  </si>
  <si>
    <t>Aerosol Temperate Asia,Air,PRJDB13521</t>
  </si>
  <si>
    <t>Other Bacteria</t>
  </si>
  <si>
    <t>Other Pseudomonadota</t>
  </si>
  <si>
    <t>Other Alphaproteobacteria</t>
  </si>
  <si>
    <t>RHAL1</t>
  </si>
  <si>
    <t>Other Beijerinckiaceae</t>
  </si>
  <si>
    <t>JAJXWB01</t>
  </si>
  <si>
    <t>Other Methylocystaceae</t>
  </si>
  <si>
    <t>Methylobacterium</t>
  </si>
  <si>
    <t>Enterovirga</t>
  </si>
  <si>
    <t>Other Methylobacteriaceae</t>
  </si>
  <si>
    <t>Lichenibacterium</t>
  </si>
  <si>
    <t>Lichenifustis</t>
  </si>
  <si>
    <t>Lichenihabitans</t>
  </si>
  <si>
    <t>Other Lichenihabitantaceae</t>
  </si>
  <si>
    <t>Other Hyphomicrobiales</t>
  </si>
  <si>
    <t>Rhizobiaceae</t>
  </si>
  <si>
    <t>Xanthobacteraceae</t>
  </si>
  <si>
    <t>æ</t>
  </si>
  <si>
    <t>Test</t>
  </si>
  <si>
    <t xml:space="preserve">MEAN Phyllosphere </t>
  </si>
  <si>
    <t>MAX Phyllosphere</t>
  </si>
  <si>
    <t>Min Phyllosphere</t>
  </si>
  <si>
    <t xml:space="preserve">MEAN Lichen </t>
  </si>
  <si>
    <t>MAX Lichen</t>
  </si>
  <si>
    <t>Min Lichen</t>
  </si>
  <si>
    <t>MEAN Moss</t>
  </si>
  <si>
    <t>MAX Moss</t>
  </si>
  <si>
    <t>MIN Moss</t>
  </si>
  <si>
    <t>source file: Summary-Per-Biome-June2025.txt</t>
  </si>
  <si>
    <t>Categories (BioProjects PRJNA1001021 and PRJNA290145 were subdivided)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</si>
</sst>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2"/>
      <color theme="1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433FF"/>
        <bgColor indexed="64"/>
      </patternFill>
    </fill>
    <fill>
      <patternFill patternType="solid">
        <fgColor rgb="FFD6E3FF"/>
        <bgColor indexed="64"/>
      </patternFill>
    </fill>
    <fill>
      <patternFill patternType="solid">
        <fgColor rgb="FFF0863F"/>
        <bgColor indexed="64"/>
      </patternFill>
    </fill>
    <fill>
      <patternFill patternType="solid">
        <fgColor rgb="FFFFEDB3"/>
        <bgColor indexed="64"/>
      </patternFill>
    </fill>
    <fill>
      <patternFill patternType="solid">
        <fgColor rgb="FFF3AEA2"/>
        <bgColor indexed="64"/>
      </patternFill>
    </fill>
    <fill>
      <patternFill patternType="solid">
        <fgColor rgb="FFFFDDD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66F3C6"/>
        <bgColor indexed="64"/>
      </patternFill>
    </fill>
    <fill>
      <patternFill patternType="solid">
        <fgColor rgb="FFD0FFCA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6">
    <xf numFmtId="0" fontId="0" fillId="0" borderId="0" xfId="0"/>
    <xf numFmtId="164" fontId="0" fillId="0" borderId="0" xfId="1" applyNumberFormat="1" applyFont="1"/>
    <xf numFmtId="0" fontId="0" fillId="0" borderId="0" xfId="0" applyAlignment="1">
      <alignment textRotation="90"/>
    </xf>
    <xf numFmtId="0" fontId="0" fillId="2" borderId="0" xfId="0" applyFill="1" applyAlignment="1">
      <alignment textRotation="90"/>
    </xf>
    <xf numFmtId="164" fontId="0" fillId="2" borderId="0" xfId="1" applyNumberFormat="1" applyFont="1" applyFill="1"/>
    <xf numFmtId="164" fontId="0" fillId="0" borderId="0" xfId="0" applyNumberFormat="1"/>
    <xf numFmtId="0" fontId="2" fillId="3" borderId="0" xfId="0" applyFont="1" applyFill="1" applyAlignment="1">
      <alignment textRotation="90"/>
    </xf>
    <xf numFmtId="0" fontId="2" fillId="4" borderId="0" xfId="0" applyFont="1" applyFill="1" applyAlignment="1">
      <alignment textRotation="90"/>
    </xf>
    <xf numFmtId="0" fontId="0" fillId="5" borderId="0" xfId="0" applyFill="1" applyAlignment="1">
      <alignment textRotation="90"/>
    </xf>
    <xf numFmtId="0" fontId="2" fillId="6" borderId="0" xfId="0" applyFont="1" applyFill="1" applyAlignment="1">
      <alignment textRotation="90"/>
    </xf>
    <xf numFmtId="0" fontId="0" fillId="7" borderId="0" xfId="0" applyFill="1" applyAlignment="1">
      <alignment textRotation="90"/>
    </xf>
    <xf numFmtId="0" fontId="0" fillId="8" borderId="0" xfId="0" applyFill="1" applyAlignment="1">
      <alignment textRotation="90"/>
    </xf>
    <xf numFmtId="0" fontId="0" fillId="9" borderId="0" xfId="0" applyFill="1" applyAlignment="1">
      <alignment textRotation="90"/>
    </xf>
    <xf numFmtId="0" fontId="0" fillId="10" borderId="0" xfId="0" applyFill="1" applyAlignment="1">
      <alignment textRotation="90"/>
    </xf>
    <xf numFmtId="0" fontId="0" fillId="11" borderId="0" xfId="0" applyFill="1" applyAlignment="1">
      <alignment textRotation="90"/>
    </xf>
    <xf numFmtId="0" fontId="2" fillId="12" borderId="0" xfId="0" applyFont="1" applyFill="1" applyAlignment="1">
      <alignment textRotation="90"/>
    </xf>
    <xf numFmtId="0" fontId="2" fillId="13" borderId="0" xfId="0" applyFont="1" applyFill="1" applyAlignment="1">
      <alignment textRotation="90"/>
    </xf>
    <xf numFmtId="0" fontId="0" fillId="14" borderId="0" xfId="0" applyFill="1" applyAlignment="1">
      <alignment textRotation="90"/>
    </xf>
    <xf numFmtId="0" fontId="0" fillId="15" borderId="0" xfId="0" applyFill="1" applyAlignment="1">
      <alignment textRotation="90"/>
    </xf>
    <xf numFmtId="0" fontId="0" fillId="16" borderId="0" xfId="0" applyFill="1" applyAlignment="1">
      <alignment textRotation="90"/>
    </xf>
    <xf numFmtId="0" fontId="0" fillId="17" borderId="0" xfId="0" applyFill="1" applyAlignment="1">
      <alignment textRotation="90"/>
    </xf>
    <xf numFmtId="0" fontId="0" fillId="18" borderId="0" xfId="0" applyFill="1"/>
    <xf numFmtId="0" fontId="0" fillId="0" borderId="1" xfId="0" applyBorder="1"/>
    <xf numFmtId="164" fontId="0" fillId="2" borderId="0" xfId="1" applyNumberFormat="1" applyFont="1" applyFill="1" applyBorder="1"/>
    <xf numFmtId="164" fontId="0" fillId="0" borderId="0" xfId="1" applyNumberFormat="1" applyFont="1" applyBorder="1"/>
    <xf numFmtId="164" fontId="0" fillId="0" borderId="2" xfId="1" applyNumberFormat="1" applyFont="1" applyBorder="1"/>
    <xf numFmtId="0" fontId="0" fillId="0" borderId="3" xfId="0" applyBorder="1"/>
    <xf numFmtId="164" fontId="0" fillId="2" borderId="4" xfId="1" applyNumberFormat="1" applyFont="1" applyFill="1" applyBorder="1"/>
    <xf numFmtId="164" fontId="0" fillId="0" borderId="4" xfId="1" applyNumberFormat="1" applyFont="1" applyBorder="1"/>
    <xf numFmtId="164" fontId="0" fillId="0" borderId="5" xfId="1" applyNumberFormat="1" applyFont="1" applyBorder="1"/>
    <xf numFmtId="0" fontId="0" fillId="0" borderId="0" xfId="0" applyAlignment="1">
      <alignment horizontal="right"/>
    </xf>
    <xf numFmtId="0" fontId="0" fillId="12" borderId="0" xfId="0" applyFill="1" applyAlignment="1">
      <alignment horizontal="right"/>
    </xf>
    <xf numFmtId="0" fontId="0" fillId="18" borderId="0" xfId="0" applyFill="1" applyAlignment="1">
      <alignment horizontal="right"/>
    </xf>
    <xf numFmtId="0" fontId="0" fillId="0" borderId="4" xfId="0" applyBorder="1"/>
    <xf numFmtId="164" fontId="0" fillId="2" borderId="0" xfId="0" applyNumberFormat="1" applyFill="1"/>
    <xf numFmtId="164" fontId="6" fillId="2" borderId="0" xfId="0" applyNumberFormat="1" applyFont="1" applyFill="1"/>
    <xf numFmtId="164" fontId="6" fillId="0" borderId="0" xfId="0" applyNumberFormat="1" applyFont="1"/>
    <xf numFmtId="164" fontId="7" fillId="0" borderId="0" xfId="0" applyNumberFormat="1" applyFont="1"/>
    <xf numFmtId="164" fontId="0" fillId="18" borderId="0" xfId="1" applyNumberFormat="1" applyFont="1" applyFill="1" applyBorder="1"/>
    <xf numFmtId="164" fontId="0" fillId="18" borderId="4" xfId="1" applyNumberFormat="1" applyFont="1" applyFill="1" applyBorder="1"/>
    <xf numFmtId="164" fontId="0" fillId="19" borderId="0" xfId="1" applyNumberFormat="1" applyFont="1" applyFill="1" applyBorder="1"/>
    <xf numFmtId="164" fontId="0" fillId="19" borderId="4" xfId="1" applyNumberFormat="1" applyFont="1" applyFill="1" applyBorder="1"/>
    <xf numFmtId="164" fontId="7" fillId="2" borderId="0" xfId="0" applyNumberFormat="1" applyFont="1" applyFill="1"/>
    <xf numFmtId="164" fontId="0" fillId="18" borderId="0" xfId="1" applyNumberFormat="1" applyFont="1" applyFill="1"/>
    <xf numFmtId="0" fontId="6" fillId="2" borderId="0" xfId="0" applyFont="1" applyFill="1"/>
    <xf numFmtId="0" fontId="6" fillId="0" borderId="0" xfId="0" applyFont="1"/>
  </cellXfs>
  <cellStyles count="22">
    <cellStyle name="Lien hypertexte" xfId="2" builtinId="8" hidden="1"/>
    <cellStyle name="Lien hypertexte" xfId="4" builtinId="8" hidden="1"/>
    <cellStyle name="Lien hypertexte" xfId="6" builtinId="8" hidden="1"/>
    <cellStyle name="Lien hypertexte" xfId="8" builtinId="8" hidden="1"/>
    <cellStyle name="Lien hypertexte" xfId="10" builtinId="8" hidden="1"/>
    <cellStyle name="Lien hypertexte" xfId="12" builtinId="8" hidden="1"/>
    <cellStyle name="Lien hypertexte" xfId="14" builtinId="8" hidden="1"/>
    <cellStyle name="Lien hypertexte" xfId="16" builtinId="8" hidden="1"/>
    <cellStyle name="Lien hypertexte" xfId="18" builtinId="8" hidden="1"/>
    <cellStyle name="Lien hypertexte" xfId="20" builtinId="8" hidden="1"/>
    <cellStyle name="Lien hypertexte visité" xfId="3" builtinId="9" hidden="1"/>
    <cellStyle name="Lien hypertexte visité" xfId="5" builtinId="9" hidden="1"/>
    <cellStyle name="Lien hypertexte visité" xfId="7" builtinId="9" hidden="1"/>
    <cellStyle name="Lien hypertexte visité" xfId="9" builtinId="9" hidden="1"/>
    <cellStyle name="Lien hypertexte visité" xfId="11" builtinId="9" hidden="1"/>
    <cellStyle name="Lien hypertexte visité" xfId="13" builtinId="9" hidden="1"/>
    <cellStyle name="Lien hypertexte visité" xfId="15" builtinId="9" hidden="1"/>
    <cellStyle name="Lien hypertexte visité" xfId="17" builtinId="9" hidden="1"/>
    <cellStyle name="Lien hypertexte visité" xfId="19" builtinId="9" hidden="1"/>
    <cellStyle name="Lien hypertexte visité" xfId="21" builtinId="9" hidden="1"/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2035F8"/>
      <color rgb="FF1CD9BC"/>
      <color rgb="FF66F3C6"/>
      <color rgb="FFD0FFCA"/>
      <color rgb="FFFFDDDC"/>
      <color rgb="FFF3AEA2"/>
      <color rgb="FFFFEDB3"/>
      <color rgb="FFE6814E"/>
      <color rgb="FFCED6F9"/>
      <color rgb="FF68F3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  <c:txPr>
        <a:bodyPr/>
        <a:lstStyle/>
        <a:p>
          <a:pPr>
            <a:defRPr sz="1200" b="0"/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2256932557343"/>
          <c:y val="9.6692913385826695E-2"/>
          <c:w val="0.82326035604245096"/>
          <c:h val="0.90291159627773798"/>
        </c:manualLayout>
      </c:layout>
      <c:ofPieChart>
        <c:ofPieType val="pie"/>
        <c:varyColors val="1"/>
        <c:ser>
          <c:idx val="0"/>
          <c:order val="0"/>
          <c:tx>
            <c:strRef>
              <c:f>Feuil1!$A$35</c:f>
              <c:strCache>
                <c:ptCount val="1"/>
                <c:pt idx="0">
                  <c:v>Aerosol Temperate Asia,Air,PRJDB13521</c:v>
                </c:pt>
              </c:strCache>
            </c:strRef>
          </c:tx>
          <c:spPr>
            <a:ln w="6350" cmpd="sng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1C0A-9746-B31E-352B0432E2F7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1C0A-9746-B31E-352B0432E2F7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1C0A-9746-B31E-352B0432E2F7}"/>
              </c:ext>
            </c:extLst>
          </c:dPt>
          <c:dPt>
            <c:idx val="3"/>
            <c:bubble3D val="0"/>
            <c:spPr>
              <a:solidFill>
                <a:srgbClr val="0000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1C0A-9746-B31E-352B0432E2F7}"/>
              </c:ext>
            </c:extLst>
          </c:dPt>
          <c:dPt>
            <c:idx val="4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1C0A-9746-B31E-352B0432E2F7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1C0A-9746-B31E-352B0432E2F7}"/>
              </c:ext>
            </c:extLst>
          </c:dPt>
          <c:dPt>
            <c:idx val="6"/>
            <c:bubble3D val="0"/>
            <c:spPr>
              <a:solidFill>
                <a:srgbClr val="FFEDB3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1C0A-9746-B31E-352B0432E2F7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1C0A-9746-B31E-352B0432E2F7}"/>
              </c:ext>
            </c:extLst>
          </c:dPt>
          <c:dPt>
            <c:idx val="8"/>
            <c:bubble3D val="0"/>
            <c:spPr>
              <a:solidFill>
                <a:srgbClr val="F3AEA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1C0A-9746-B31E-352B0432E2F7}"/>
              </c:ext>
            </c:extLst>
          </c:dPt>
          <c:dPt>
            <c:idx val="9"/>
            <c:bubble3D val="0"/>
            <c:spPr>
              <a:solidFill>
                <a:srgbClr val="FFDDD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1C0A-9746-B31E-352B0432E2F7}"/>
              </c:ext>
            </c:extLst>
          </c:dPt>
          <c:dPt>
            <c:idx val="10"/>
            <c:bubble3D val="0"/>
            <c:spPr>
              <a:solidFill>
                <a:schemeClr val="accent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1C0A-9746-B31E-352B0432E2F7}"/>
              </c:ext>
            </c:extLst>
          </c:dPt>
          <c:dPt>
            <c:idx val="11"/>
            <c:bubble3D val="0"/>
            <c:spPr>
              <a:solidFill>
                <a:srgbClr val="1CD9B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1C0A-9746-B31E-352B0432E2F7}"/>
              </c:ext>
            </c:extLst>
          </c:dPt>
          <c:dPt>
            <c:idx val="12"/>
            <c:bubble3D val="0"/>
            <c:spPr>
              <a:solidFill>
                <a:schemeClr val="accent6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1C0A-9746-B31E-352B0432E2F7}"/>
              </c:ext>
            </c:extLst>
          </c:dPt>
          <c:dPt>
            <c:idx val="1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1C0A-9746-B31E-352B0432E2F7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1C0A-9746-B31E-352B0432E2F7}"/>
              </c:ext>
            </c:extLst>
          </c:dPt>
          <c:dPt>
            <c:idx val="15"/>
            <c:bubble3D val="0"/>
            <c:spPr>
              <a:solidFill>
                <a:srgbClr val="66006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1C0A-9746-B31E-352B0432E2F7}"/>
              </c:ext>
            </c:extLst>
          </c:dPt>
          <c:dPt>
            <c:idx val="16"/>
            <c:bubble3D val="0"/>
            <c:spPr>
              <a:solidFill>
                <a:schemeClr val="bg1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1C0A-9746-B31E-352B0432E2F7}"/>
              </c:ext>
            </c:extLst>
          </c:dPt>
          <c:dPt>
            <c:idx val="17"/>
            <c:bubble3D val="0"/>
            <c:spPr>
              <a:solidFill>
                <a:srgbClr val="FFFF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1C0A-9746-B31E-352B0432E2F7}"/>
              </c:ext>
            </c:extLst>
          </c:dPt>
          <c:cat>
            <c:strRef>
              <c:f>Feuil1!$C$34:$S$34</c:f>
              <c:strCache>
                <c:ptCount val="17"/>
                <c:pt idx="0">
                  <c:v>Other Bacteria</c:v>
                </c:pt>
                <c:pt idx="1">
                  <c:v>Other Pseudomonadota</c:v>
                </c:pt>
                <c:pt idx="2">
                  <c:v>Other Alphaproteobacteria</c:v>
                </c:pt>
                <c:pt idx="3">
                  <c:v>RHAL1</c:v>
                </c:pt>
                <c:pt idx="4">
                  <c:v>Other Beijerinckiaceae</c:v>
                </c:pt>
                <c:pt idx="5">
                  <c:v>JAJXWB01</c:v>
                </c:pt>
                <c:pt idx="6">
                  <c:v>Other Methylocystaceae</c:v>
                </c:pt>
                <c:pt idx="7">
                  <c:v>Methylobacterium</c:v>
                </c:pt>
                <c:pt idx="8">
                  <c:v>Enterovirga</c:v>
                </c:pt>
                <c:pt idx="9">
                  <c:v>Other Methylobacteriaceae</c:v>
                </c:pt>
                <c:pt idx="10">
                  <c:v>Lichenibacterium</c:v>
                </c:pt>
                <c:pt idx="11">
                  <c:v>Lichenifustis</c:v>
                </c:pt>
                <c:pt idx="12">
                  <c:v>Lichenihabitans</c:v>
                </c:pt>
                <c:pt idx="13">
                  <c:v>Other Lichenihabitantaceae</c:v>
                </c:pt>
                <c:pt idx="14">
                  <c:v>Rhizobiaceae</c:v>
                </c:pt>
                <c:pt idx="15">
                  <c:v>Xanthobacteraceae</c:v>
                </c:pt>
                <c:pt idx="16">
                  <c:v>Other Hyphomicrobiales</c:v>
                </c:pt>
              </c:strCache>
            </c:strRef>
          </c:cat>
          <c:val>
            <c:numRef>
              <c:f>Feuil1!$C$35:$S$35</c:f>
              <c:numCache>
                <c:formatCode>0.0%</c:formatCode>
                <c:ptCount val="17"/>
                <c:pt idx="0">
                  <c:v>0.65110849152966122</c:v>
                </c:pt>
                <c:pt idx="1">
                  <c:v>0.135298278152542</c:v>
                </c:pt>
                <c:pt idx="2">
                  <c:v>0.13720932598767599</c:v>
                </c:pt>
                <c:pt idx="3">
                  <c:v>1.3518019520020199E-4</c:v>
                </c:pt>
                <c:pt idx="4">
                  <c:v>0</c:v>
                </c:pt>
                <c:pt idx="7">
                  <c:v>3.12122580842338E-2</c:v>
                </c:pt>
                <c:pt idx="8">
                  <c:v>7.29855982108234E-4</c:v>
                </c:pt>
                <c:pt idx="9">
                  <c:v>1.9370180991802599E-3</c:v>
                </c:pt>
                <c:pt idx="10">
                  <c:v>1.04691448204962E-2</c:v>
                </c:pt>
                <c:pt idx="11">
                  <c:v>2.70540811081351E-5</c:v>
                </c:pt>
                <c:pt idx="12">
                  <c:v>0</c:v>
                </c:pt>
                <c:pt idx="13">
                  <c:v>-3.4694469519536142E-17</c:v>
                </c:pt>
                <c:pt idx="14">
                  <c:v>2.0662831262782001E-2</c:v>
                </c:pt>
                <c:pt idx="15">
                  <c:v>3.1280378636614498E-3</c:v>
                </c:pt>
                <c:pt idx="16">
                  <c:v>8.0825239413507555E-3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1C0A-9746-B31E-352B0432E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14"/>
        <c:secondPieSize val="100"/>
        <c:serLines/>
      </c:ofPieChart>
    </c:plotArea>
    <c:plotVisOnly val="1"/>
    <c:dispBlanksAs val="gap"/>
    <c:showDLblsOverMax val="0"/>
  </c:chart>
  <c:txPr>
    <a:bodyPr/>
    <a:lstStyle/>
    <a:p>
      <a:pPr>
        <a:defRPr>
          <a:latin typeface="Arial"/>
          <a:cs typeface="Arial"/>
        </a:defRPr>
      </a:pPr>
      <a:endParaRPr lang="fr-FR"/>
    </a:p>
  </c:txPr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  <c:txPr>
        <a:bodyPr/>
        <a:lstStyle/>
        <a:p>
          <a:pPr>
            <a:defRPr sz="1200" b="0"/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2256932557343"/>
          <c:y val="9.6692913385826695E-2"/>
          <c:w val="0.82326035604245096"/>
          <c:h val="0.90291159627773798"/>
        </c:manualLayout>
      </c:layout>
      <c:ofPieChart>
        <c:ofPieType val="pie"/>
        <c:varyColors val="1"/>
        <c:ser>
          <c:idx val="0"/>
          <c:order val="0"/>
          <c:tx>
            <c:strRef>
              <c:f>Feuil1!$A$36</c:f>
              <c:strCache>
                <c:ptCount val="1"/>
                <c:pt idx="0">
                  <c:v>Bark Temperate Europe,Bark,PRJNA290145</c:v>
                </c:pt>
              </c:strCache>
            </c:strRef>
          </c:tx>
          <c:spPr>
            <a:ln w="6350" cmpd="sng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E152-3E4E-B5F0-5C286B8F9932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152-3E4E-B5F0-5C286B8F9932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152-3E4E-B5F0-5C286B8F9932}"/>
              </c:ext>
            </c:extLst>
          </c:dPt>
          <c:dPt>
            <c:idx val="3"/>
            <c:bubble3D val="0"/>
            <c:spPr>
              <a:solidFill>
                <a:srgbClr val="0000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E152-3E4E-B5F0-5C286B8F9932}"/>
              </c:ext>
            </c:extLst>
          </c:dPt>
          <c:dPt>
            <c:idx val="4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E152-3E4E-B5F0-5C286B8F9932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E152-3E4E-B5F0-5C286B8F9932}"/>
              </c:ext>
            </c:extLst>
          </c:dPt>
          <c:dPt>
            <c:idx val="6"/>
            <c:bubble3D val="0"/>
            <c:spPr>
              <a:solidFill>
                <a:srgbClr val="FFEDB3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E152-3E4E-B5F0-5C286B8F9932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E152-3E4E-B5F0-5C286B8F9932}"/>
              </c:ext>
            </c:extLst>
          </c:dPt>
          <c:dPt>
            <c:idx val="8"/>
            <c:bubble3D val="0"/>
            <c:spPr>
              <a:solidFill>
                <a:srgbClr val="F3AEA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E152-3E4E-B5F0-5C286B8F9932}"/>
              </c:ext>
            </c:extLst>
          </c:dPt>
          <c:dPt>
            <c:idx val="9"/>
            <c:bubble3D val="0"/>
            <c:spPr>
              <a:solidFill>
                <a:srgbClr val="FFDDD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E152-3E4E-B5F0-5C286B8F9932}"/>
              </c:ext>
            </c:extLst>
          </c:dPt>
          <c:dPt>
            <c:idx val="10"/>
            <c:bubble3D val="0"/>
            <c:spPr>
              <a:solidFill>
                <a:schemeClr val="accent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E152-3E4E-B5F0-5C286B8F9932}"/>
              </c:ext>
            </c:extLst>
          </c:dPt>
          <c:dPt>
            <c:idx val="11"/>
            <c:bubble3D val="0"/>
            <c:spPr>
              <a:solidFill>
                <a:srgbClr val="1CD9B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E152-3E4E-B5F0-5C286B8F9932}"/>
              </c:ext>
            </c:extLst>
          </c:dPt>
          <c:dPt>
            <c:idx val="12"/>
            <c:bubble3D val="0"/>
            <c:spPr>
              <a:solidFill>
                <a:schemeClr val="accent6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E152-3E4E-B5F0-5C286B8F9932}"/>
              </c:ext>
            </c:extLst>
          </c:dPt>
          <c:dPt>
            <c:idx val="1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E152-3E4E-B5F0-5C286B8F9932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E152-3E4E-B5F0-5C286B8F9932}"/>
              </c:ext>
            </c:extLst>
          </c:dPt>
          <c:dPt>
            <c:idx val="15"/>
            <c:bubble3D val="0"/>
            <c:spPr>
              <a:solidFill>
                <a:srgbClr val="66006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E152-3E4E-B5F0-5C286B8F9932}"/>
              </c:ext>
            </c:extLst>
          </c:dPt>
          <c:dPt>
            <c:idx val="16"/>
            <c:bubble3D val="0"/>
            <c:spPr>
              <a:solidFill>
                <a:schemeClr val="bg1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E152-3E4E-B5F0-5C286B8F9932}"/>
              </c:ext>
            </c:extLst>
          </c:dPt>
          <c:dPt>
            <c:idx val="17"/>
            <c:bubble3D val="0"/>
            <c:spPr>
              <a:solidFill>
                <a:srgbClr val="FFFF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E152-3E4E-B5F0-5C286B8F9932}"/>
              </c:ext>
            </c:extLst>
          </c:dPt>
          <c:cat>
            <c:strRef>
              <c:f>Feuil1!$C$34:$S$34</c:f>
              <c:strCache>
                <c:ptCount val="17"/>
                <c:pt idx="0">
                  <c:v>Other Bacteria</c:v>
                </c:pt>
                <c:pt idx="1">
                  <c:v>Other Pseudomonadota</c:v>
                </c:pt>
                <c:pt idx="2">
                  <c:v>Other Alphaproteobacteria</c:v>
                </c:pt>
                <c:pt idx="3">
                  <c:v>RHAL1</c:v>
                </c:pt>
                <c:pt idx="4">
                  <c:v>Other Beijerinckiaceae</c:v>
                </c:pt>
                <c:pt idx="5">
                  <c:v>JAJXWB01</c:v>
                </c:pt>
                <c:pt idx="6">
                  <c:v>Other Methylocystaceae</c:v>
                </c:pt>
                <c:pt idx="7">
                  <c:v>Methylobacterium</c:v>
                </c:pt>
                <c:pt idx="8">
                  <c:v>Enterovirga</c:v>
                </c:pt>
                <c:pt idx="9">
                  <c:v>Other Methylobacteriaceae</c:v>
                </c:pt>
                <c:pt idx="10">
                  <c:v>Lichenibacterium</c:v>
                </c:pt>
                <c:pt idx="11">
                  <c:v>Lichenifustis</c:v>
                </c:pt>
                <c:pt idx="12">
                  <c:v>Lichenihabitans</c:v>
                </c:pt>
                <c:pt idx="13">
                  <c:v>Other Lichenihabitantaceae</c:v>
                </c:pt>
                <c:pt idx="14">
                  <c:v>Rhizobiaceae</c:v>
                </c:pt>
                <c:pt idx="15">
                  <c:v>Xanthobacteraceae</c:v>
                </c:pt>
                <c:pt idx="16">
                  <c:v>Other Hyphomicrobiales</c:v>
                </c:pt>
              </c:strCache>
            </c:strRef>
          </c:cat>
          <c:val>
            <c:numRef>
              <c:f>Feuil1!$C$36:$S$36</c:f>
              <c:numCache>
                <c:formatCode>0.0%</c:formatCode>
                <c:ptCount val="17"/>
                <c:pt idx="0">
                  <c:v>0.36289128615448213</c:v>
                </c:pt>
                <c:pt idx="1">
                  <c:v>8.7569321681647994E-2</c:v>
                </c:pt>
                <c:pt idx="2">
                  <c:v>0.51088429891856801</c:v>
                </c:pt>
                <c:pt idx="3">
                  <c:v>0</c:v>
                </c:pt>
                <c:pt idx="4">
                  <c:v>3.1811029988861E-3</c:v>
                </c:pt>
                <c:pt idx="7">
                  <c:v>1.55868179490468E-3</c:v>
                </c:pt>
                <c:pt idx="8">
                  <c:v>1.27934840144916E-3</c:v>
                </c:pt>
                <c:pt idx="9">
                  <c:v>3.513513513513501E-4</c:v>
                </c:pt>
                <c:pt idx="10">
                  <c:v>1.1318754079368E-2</c:v>
                </c:pt>
                <c:pt idx="11">
                  <c:v>2.40570900229225E-3</c:v>
                </c:pt>
                <c:pt idx="12">
                  <c:v>2.0091923254418899E-3</c:v>
                </c:pt>
                <c:pt idx="13">
                  <c:v>-3.8163916471489756E-17</c:v>
                </c:pt>
                <c:pt idx="14">
                  <c:v>3.6396666877067298E-3</c:v>
                </c:pt>
                <c:pt idx="15">
                  <c:v>2.34236638039107E-3</c:v>
                </c:pt>
                <c:pt idx="16">
                  <c:v>1.056892022351081E-2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152-3E4E-B5F0-5C286B8F9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14"/>
        <c:secondPieSize val="100"/>
        <c:serLines/>
      </c:ofPieChart>
    </c:plotArea>
    <c:plotVisOnly val="1"/>
    <c:dispBlanksAs val="gap"/>
    <c:showDLblsOverMax val="0"/>
  </c:chart>
  <c:txPr>
    <a:bodyPr/>
    <a:lstStyle/>
    <a:p>
      <a:pPr>
        <a:defRPr>
          <a:latin typeface="Arial"/>
          <a:cs typeface="Arial"/>
        </a:defRPr>
      </a:pPr>
      <a:endParaRPr lang="fr-FR"/>
    </a:p>
  </c:txPr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  <c:txPr>
        <a:bodyPr/>
        <a:lstStyle/>
        <a:p>
          <a:pPr>
            <a:defRPr sz="1200" b="0"/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2256932557343"/>
          <c:y val="9.6692913385826695E-2"/>
          <c:w val="0.82326035604245096"/>
          <c:h val="0.90291159627773798"/>
        </c:manualLayout>
      </c:layout>
      <c:ofPieChart>
        <c:ofPieType val="pie"/>
        <c:varyColors val="1"/>
        <c:ser>
          <c:idx val="0"/>
          <c:order val="0"/>
          <c:tx>
            <c:strRef>
              <c:f>Feuil1!$A$37</c:f>
              <c:strCache>
                <c:ptCount val="1"/>
                <c:pt idx="0">
                  <c:v>Endophyte Greenhouse  Asia,Lycopodes,PRJNA867490</c:v>
                </c:pt>
              </c:strCache>
            </c:strRef>
          </c:tx>
          <c:spPr>
            <a:ln w="6350" cmpd="sng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97F4-C644-94E3-62B9E789D635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7F4-C644-94E3-62B9E789D635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97F4-C644-94E3-62B9E789D635}"/>
              </c:ext>
            </c:extLst>
          </c:dPt>
          <c:dPt>
            <c:idx val="3"/>
            <c:bubble3D val="0"/>
            <c:spPr>
              <a:solidFill>
                <a:srgbClr val="0000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97F4-C644-94E3-62B9E789D635}"/>
              </c:ext>
            </c:extLst>
          </c:dPt>
          <c:dPt>
            <c:idx val="4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97F4-C644-94E3-62B9E789D635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97F4-C644-94E3-62B9E789D635}"/>
              </c:ext>
            </c:extLst>
          </c:dPt>
          <c:dPt>
            <c:idx val="6"/>
            <c:bubble3D val="0"/>
            <c:spPr>
              <a:solidFill>
                <a:srgbClr val="FFEDB3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97F4-C644-94E3-62B9E789D635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97F4-C644-94E3-62B9E789D635}"/>
              </c:ext>
            </c:extLst>
          </c:dPt>
          <c:dPt>
            <c:idx val="8"/>
            <c:bubble3D val="0"/>
            <c:spPr>
              <a:solidFill>
                <a:srgbClr val="F3AEA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97F4-C644-94E3-62B9E789D635}"/>
              </c:ext>
            </c:extLst>
          </c:dPt>
          <c:dPt>
            <c:idx val="9"/>
            <c:bubble3D val="0"/>
            <c:spPr>
              <a:solidFill>
                <a:srgbClr val="FFDDD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97F4-C644-94E3-62B9E789D635}"/>
              </c:ext>
            </c:extLst>
          </c:dPt>
          <c:dPt>
            <c:idx val="10"/>
            <c:bubble3D val="0"/>
            <c:spPr>
              <a:solidFill>
                <a:schemeClr val="accent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97F4-C644-94E3-62B9E789D635}"/>
              </c:ext>
            </c:extLst>
          </c:dPt>
          <c:dPt>
            <c:idx val="11"/>
            <c:bubble3D val="0"/>
            <c:spPr>
              <a:solidFill>
                <a:srgbClr val="1CD9B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97F4-C644-94E3-62B9E789D635}"/>
              </c:ext>
            </c:extLst>
          </c:dPt>
          <c:dPt>
            <c:idx val="12"/>
            <c:bubble3D val="0"/>
            <c:spPr>
              <a:solidFill>
                <a:schemeClr val="accent6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97F4-C644-94E3-62B9E789D635}"/>
              </c:ext>
            </c:extLst>
          </c:dPt>
          <c:dPt>
            <c:idx val="1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97F4-C644-94E3-62B9E789D635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97F4-C644-94E3-62B9E789D635}"/>
              </c:ext>
            </c:extLst>
          </c:dPt>
          <c:dPt>
            <c:idx val="15"/>
            <c:bubble3D val="0"/>
            <c:spPr>
              <a:solidFill>
                <a:srgbClr val="66006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97F4-C644-94E3-62B9E789D635}"/>
              </c:ext>
            </c:extLst>
          </c:dPt>
          <c:dPt>
            <c:idx val="16"/>
            <c:bubble3D val="0"/>
            <c:spPr>
              <a:solidFill>
                <a:schemeClr val="bg1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97F4-C644-94E3-62B9E789D635}"/>
              </c:ext>
            </c:extLst>
          </c:dPt>
          <c:dPt>
            <c:idx val="17"/>
            <c:bubble3D val="0"/>
            <c:spPr>
              <a:solidFill>
                <a:srgbClr val="FFFF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97F4-C644-94E3-62B9E789D635}"/>
              </c:ext>
            </c:extLst>
          </c:dPt>
          <c:cat>
            <c:strRef>
              <c:f>Feuil1!$C$34:$S$34</c:f>
              <c:strCache>
                <c:ptCount val="17"/>
                <c:pt idx="0">
                  <c:v>Other Bacteria</c:v>
                </c:pt>
                <c:pt idx="1">
                  <c:v>Other Pseudomonadota</c:v>
                </c:pt>
                <c:pt idx="2">
                  <c:v>Other Alphaproteobacteria</c:v>
                </c:pt>
                <c:pt idx="3">
                  <c:v>RHAL1</c:v>
                </c:pt>
                <c:pt idx="4">
                  <c:v>Other Beijerinckiaceae</c:v>
                </c:pt>
                <c:pt idx="5">
                  <c:v>JAJXWB01</c:v>
                </c:pt>
                <c:pt idx="6">
                  <c:v>Other Methylocystaceae</c:v>
                </c:pt>
                <c:pt idx="7">
                  <c:v>Methylobacterium</c:v>
                </c:pt>
                <c:pt idx="8">
                  <c:v>Enterovirga</c:v>
                </c:pt>
                <c:pt idx="9">
                  <c:v>Other Methylobacteriaceae</c:v>
                </c:pt>
                <c:pt idx="10">
                  <c:v>Lichenibacterium</c:v>
                </c:pt>
                <c:pt idx="11">
                  <c:v>Lichenifustis</c:v>
                </c:pt>
                <c:pt idx="12">
                  <c:v>Lichenihabitans</c:v>
                </c:pt>
                <c:pt idx="13">
                  <c:v>Other Lichenihabitantaceae</c:v>
                </c:pt>
                <c:pt idx="14">
                  <c:v>Rhizobiaceae</c:v>
                </c:pt>
                <c:pt idx="15">
                  <c:v>Xanthobacteraceae</c:v>
                </c:pt>
                <c:pt idx="16">
                  <c:v>Other Hyphomicrobiales</c:v>
                </c:pt>
              </c:strCache>
            </c:strRef>
          </c:cat>
          <c:val>
            <c:numRef>
              <c:f>Feuil1!$C$37:$S$37</c:f>
              <c:numCache>
                <c:formatCode>0.0%</c:formatCode>
                <c:ptCount val="17"/>
                <c:pt idx="0">
                  <c:v>0.29284539532865045</c:v>
                </c:pt>
                <c:pt idx="1">
                  <c:v>0.32315542759126403</c:v>
                </c:pt>
                <c:pt idx="2">
                  <c:v>0.21173909912318301</c:v>
                </c:pt>
                <c:pt idx="3">
                  <c:v>2.3755396078751E-2</c:v>
                </c:pt>
                <c:pt idx="4">
                  <c:v>3.9649894750911005E-3</c:v>
                </c:pt>
                <c:pt idx="7">
                  <c:v>4.4467921171762702E-3</c:v>
                </c:pt>
                <c:pt idx="8">
                  <c:v>2.0752974209767498E-3</c:v>
                </c:pt>
                <c:pt idx="9">
                  <c:v>3.3348158034579925E-4</c:v>
                </c:pt>
                <c:pt idx="10">
                  <c:v>3.14966808780799E-3</c:v>
                </c:pt>
                <c:pt idx="11">
                  <c:v>6.0401513698560604E-3</c:v>
                </c:pt>
                <c:pt idx="12">
                  <c:v>3.2981621373857298E-3</c:v>
                </c:pt>
                <c:pt idx="13">
                  <c:v>8.1518556421452011E-4</c:v>
                </c:pt>
                <c:pt idx="14">
                  <c:v>2.34155852881964E-2</c:v>
                </c:pt>
                <c:pt idx="15">
                  <c:v>7.3620086632418702E-2</c:v>
                </c:pt>
                <c:pt idx="16">
                  <c:v>2.7345282204681687E-2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97F4-C644-94E3-62B9E789D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14"/>
        <c:secondPieSize val="100"/>
        <c:serLines/>
      </c:ofPieChart>
    </c:plotArea>
    <c:plotVisOnly val="1"/>
    <c:dispBlanksAs val="gap"/>
    <c:showDLblsOverMax val="0"/>
  </c:chart>
  <c:txPr>
    <a:bodyPr/>
    <a:lstStyle/>
    <a:p>
      <a:pPr>
        <a:defRPr>
          <a:latin typeface="Arial"/>
          <a:cs typeface="Arial"/>
        </a:defRPr>
      </a:pPr>
      <a:endParaRPr lang="fr-FR"/>
    </a:p>
  </c:txPr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  <c:txPr>
        <a:bodyPr/>
        <a:lstStyle/>
        <a:p>
          <a:pPr>
            <a:defRPr sz="1200" b="0"/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2256932557343"/>
          <c:y val="9.6692913385826695E-2"/>
          <c:w val="0.82326035604245096"/>
          <c:h val="0.90291159627773798"/>
        </c:manualLayout>
      </c:layout>
      <c:ofPieChart>
        <c:ofPieType val="pie"/>
        <c:varyColors val="1"/>
        <c:ser>
          <c:idx val="0"/>
          <c:order val="0"/>
          <c:tx>
            <c:strRef>
              <c:f>Feuil1!$A$38</c:f>
              <c:strCache>
                <c:ptCount val="1"/>
                <c:pt idx="0">
                  <c:v>Epiphyte Tropical South_America,Tillandsia,PRJNA1134710</c:v>
                </c:pt>
              </c:strCache>
            </c:strRef>
          </c:tx>
          <c:spPr>
            <a:ln w="6350" cmpd="sng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DC5-0B48-9CD6-DB3374938150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DC5-0B48-9CD6-DB3374938150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8DC5-0B48-9CD6-DB3374938150}"/>
              </c:ext>
            </c:extLst>
          </c:dPt>
          <c:dPt>
            <c:idx val="3"/>
            <c:bubble3D val="0"/>
            <c:spPr>
              <a:solidFill>
                <a:srgbClr val="0000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8DC5-0B48-9CD6-DB3374938150}"/>
              </c:ext>
            </c:extLst>
          </c:dPt>
          <c:dPt>
            <c:idx val="4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8DC5-0B48-9CD6-DB3374938150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8DC5-0B48-9CD6-DB3374938150}"/>
              </c:ext>
            </c:extLst>
          </c:dPt>
          <c:dPt>
            <c:idx val="6"/>
            <c:bubble3D val="0"/>
            <c:spPr>
              <a:solidFill>
                <a:srgbClr val="FFEDB3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8DC5-0B48-9CD6-DB3374938150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8DC5-0B48-9CD6-DB3374938150}"/>
              </c:ext>
            </c:extLst>
          </c:dPt>
          <c:dPt>
            <c:idx val="8"/>
            <c:bubble3D val="0"/>
            <c:spPr>
              <a:solidFill>
                <a:srgbClr val="F3AEA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8DC5-0B48-9CD6-DB3374938150}"/>
              </c:ext>
            </c:extLst>
          </c:dPt>
          <c:dPt>
            <c:idx val="9"/>
            <c:bubble3D val="0"/>
            <c:spPr>
              <a:solidFill>
                <a:srgbClr val="FFDDD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8DC5-0B48-9CD6-DB3374938150}"/>
              </c:ext>
            </c:extLst>
          </c:dPt>
          <c:dPt>
            <c:idx val="10"/>
            <c:bubble3D val="0"/>
            <c:spPr>
              <a:solidFill>
                <a:schemeClr val="accent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8DC5-0B48-9CD6-DB3374938150}"/>
              </c:ext>
            </c:extLst>
          </c:dPt>
          <c:dPt>
            <c:idx val="11"/>
            <c:bubble3D val="0"/>
            <c:spPr>
              <a:solidFill>
                <a:srgbClr val="1CD9B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8DC5-0B48-9CD6-DB3374938150}"/>
              </c:ext>
            </c:extLst>
          </c:dPt>
          <c:dPt>
            <c:idx val="12"/>
            <c:bubble3D val="0"/>
            <c:spPr>
              <a:solidFill>
                <a:schemeClr val="accent6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8DC5-0B48-9CD6-DB3374938150}"/>
              </c:ext>
            </c:extLst>
          </c:dPt>
          <c:dPt>
            <c:idx val="1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8DC5-0B48-9CD6-DB3374938150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8DC5-0B48-9CD6-DB3374938150}"/>
              </c:ext>
            </c:extLst>
          </c:dPt>
          <c:dPt>
            <c:idx val="15"/>
            <c:bubble3D val="0"/>
            <c:spPr>
              <a:solidFill>
                <a:srgbClr val="66006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8DC5-0B48-9CD6-DB3374938150}"/>
              </c:ext>
            </c:extLst>
          </c:dPt>
          <c:dPt>
            <c:idx val="16"/>
            <c:bubble3D val="0"/>
            <c:spPr>
              <a:solidFill>
                <a:schemeClr val="bg1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8DC5-0B48-9CD6-DB3374938150}"/>
              </c:ext>
            </c:extLst>
          </c:dPt>
          <c:dPt>
            <c:idx val="17"/>
            <c:bubble3D val="0"/>
            <c:spPr>
              <a:solidFill>
                <a:srgbClr val="FFFF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8DC5-0B48-9CD6-DB3374938150}"/>
              </c:ext>
            </c:extLst>
          </c:dPt>
          <c:cat>
            <c:strRef>
              <c:f>Feuil1!$C$34:$S$34</c:f>
              <c:strCache>
                <c:ptCount val="17"/>
                <c:pt idx="0">
                  <c:v>Other Bacteria</c:v>
                </c:pt>
                <c:pt idx="1">
                  <c:v>Other Pseudomonadota</c:v>
                </c:pt>
                <c:pt idx="2">
                  <c:v>Other Alphaproteobacteria</c:v>
                </c:pt>
                <c:pt idx="3">
                  <c:v>RHAL1</c:v>
                </c:pt>
                <c:pt idx="4">
                  <c:v>Other Beijerinckiaceae</c:v>
                </c:pt>
                <c:pt idx="5">
                  <c:v>JAJXWB01</c:v>
                </c:pt>
                <c:pt idx="6">
                  <c:v>Other Methylocystaceae</c:v>
                </c:pt>
                <c:pt idx="7">
                  <c:v>Methylobacterium</c:v>
                </c:pt>
                <c:pt idx="8">
                  <c:v>Enterovirga</c:v>
                </c:pt>
                <c:pt idx="9">
                  <c:v>Other Methylobacteriaceae</c:v>
                </c:pt>
                <c:pt idx="10">
                  <c:v>Lichenibacterium</c:v>
                </c:pt>
                <c:pt idx="11">
                  <c:v>Lichenifustis</c:v>
                </c:pt>
                <c:pt idx="12">
                  <c:v>Lichenihabitans</c:v>
                </c:pt>
                <c:pt idx="13">
                  <c:v>Other Lichenihabitantaceae</c:v>
                </c:pt>
                <c:pt idx="14">
                  <c:v>Rhizobiaceae</c:v>
                </c:pt>
                <c:pt idx="15">
                  <c:v>Xanthobacteraceae</c:v>
                </c:pt>
                <c:pt idx="16">
                  <c:v>Other Hyphomicrobiales</c:v>
                </c:pt>
              </c:strCache>
            </c:strRef>
          </c:cat>
          <c:val>
            <c:numRef>
              <c:f>Feuil1!$C$38:$S$38</c:f>
              <c:numCache>
                <c:formatCode>0.0%</c:formatCode>
                <c:ptCount val="17"/>
                <c:pt idx="0">
                  <c:v>0.68362238623971605</c:v>
                </c:pt>
                <c:pt idx="1">
                  <c:v>8.1535220655583995E-2</c:v>
                </c:pt>
                <c:pt idx="2">
                  <c:v>0.16274565816925629</c:v>
                </c:pt>
                <c:pt idx="3">
                  <c:v>2.7777777777777799E-5</c:v>
                </c:pt>
                <c:pt idx="4">
                  <c:v>2.7510474922912424E-3</c:v>
                </c:pt>
                <c:pt idx="7">
                  <c:v>1.0116915573823E-2</c:v>
                </c:pt>
                <c:pt idx="8">
                  <c:v>4.1683908603732797E-3</c:v>
                </c:pt>
                <c:pt idx="9">
                  <c:v>6.3907059226004197E-3</c:v>
                </c:pt>
                <c:pt idx="10">
                  <c:v>6.4472344703968799E-3</c:v>
                </c:pt>
                <c:pt idx="11">
                  <c:v>6.5595241257622398E-3</c:v>
                </c:pt>
                <c:pt idx="12">
                  <c:v>5.4188912065160303E-3</c:v>
                </c:pt>
                <c:pt idx="13">
                  <c:v>7.7813011185504793E-4</c:v>
                </c:pt>
                <c:pt idx="14">
                  <c:v>4.4476059531242196E-3</c:v>
                </c:pt>
                <c:pt idx="15">
                  <c:v>9.0081937312648797E-3</c:v>
                </c:pt>
                <c:pt idx="16">
                  <c:v>1.5982317709658689E-2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8DC5-0B48-9CD6-DB3374938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14"/>
        <c:secondPieSize val="100"/>
        <c:serLines/>
      </c:ofPieChart>
    </c:plotArea>
    <c:plotVisOnly val="1"/>
    <c:dispBlanksAs val="gap"/>
    <c:showDLblsOverMax val="0"/>
  </c:chart>
  <c:txPr>
    <a:bodyPr/>
    <a:lstStyle/>
    <a:p>
      <a:pPr>
        <a:defRPr>
          <a:latin typeface="Arial"/>
          <a:cs typeface="Arial"/>
        </a:defRPr>
      </a:pPr>
      <a:endParaRPr lang="fr-FR"/>
    </a:p>
  </c:txPr>
  <c:printSettings>
    <c:headerFooter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  <c:txPr>
        <a:bodyPr/>
        <a:lstStyle/>
        <a:p>
          <a:pPr>
            <a:defRPr sz="1200" b="0"/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2256932557343"/>
          <c:y val="9.6692913385826695E-2"/>
          <c:w val="0.82326035604245096"/>
          <c:h val="0.90291159627773798"/>
        </c:manualLayout>
      </c:layout>
      <c:ofPieChart>
        <c:ofPieType val="pie"/>
        <c:varyColors val="1"/>
        <c:ser>
          <c:idx val="0"/>
          <c:order val="0"/>
          <c:tx>
            <c:strRef>
              <c:f>Feuil1!$A$39</c:f>
              <c:strCache>
                <c:ptCount val="1"/>
                <c:pt idx="0">
                  <c:v>Leaves Greenhouse Europe,Grapevine,PRJEB59055</c:v>
                </c:pt>
              </c:strCache>
            </c:strRef>
          </c:tx>
          <c:spPr>
            <a:ln w="6350" cmpd="sng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D5D-7F4A-8EA6-BBB0064F4087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D5D-7F4A-8EA6-BBB0064F4087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DD5D-7F4A-8EA6-BBB0064F4087}"/>
              </c:ext>
            </c:extLst>
          </c:dPt>
          <c:dPt>
            <c:idx val="3"/>
            <c:bubble3D val="0"/>
            <c:spPr>
              <a:solidFill>
                <a:srgbClr val="0000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DD5D-7F4A-8EA6-BBB0064F4087}"/>
              </c:ext>
            </c:extLst>
          </c:dPt>
          <c:dPt>
            <c:idx val="4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DD5D-7F4A-8EA6-BBB0064F4087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DD5D-7F4A-8EA6-BBB0064F4087}"/>
              </c:ext>
            </c:extLst>
          </c:dPt>
          <c:dPt>
            <c:idx val="6"/>
            <c:bubble3D val="0"/>
            <c:spPr>
              <a:solidFill>
                <a:srgbClr val="FFEDB3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DD5D-7F4A-8EA6-BBB0064F4087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DD5D-7F4A-8EA6-BBB0064F4087}"/>
              </c:ext>
            </c:extLst>
          </c:dPt>
          <c:dPt>
            <c:idx val="8"/>
            <c:bubble3D val="0"/>
            <c:spPr>
              <a:solidFill>
                <a:srgbClr val="F3AEA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DD5D-7F4A-8EA6-BBB0064F4087}"/>
              </c:ext>
            </c:extLst>
          </c:dPt>
          <c:dPt>
            <c:idx val="9"/>
            <c:bubble3D val="0"/>
            <c:spPr>
              <a:solidFill>
                <a:srgbClr val="FFDDD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DD5D-7F4A-8EA6-BBB0064F4087}"/>
              </c:ext>
            </c:extLst>
          </c:dPt>
          <c:dPt>
            <c:idx val="10"/>
            <c:bubble3D val="0"/>
            <c:spPr>
              <a:solidFill>
                <a:schemeClr val="accent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DD5D-7F4A-8EA6-BBB0064F4087}"/>
              </c:ext>
            </c:extLst>
          </c:dPt>
          <c:dPt>
            <c:idx val="11"/>
            <c:bubble3D val="0"/>
            <c:spPr>
              <a:solidFill>
                <a:srgbClr val="1CD9B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DD5D-7F4A-8EA6-BBB0064F4087}"/>
              </c:ext>
            </c:extLst>
          </c:dPt>
          <c:dPt>
            <c:idx val="12"/>
            <c:bubble3D val="0"/>
            <c:spPr>
              <a:solidFill>
                <a:schemeClr val="accent6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DD5D-7F4A-8EA6-BBB0064F4087}"/>
              </c:ext>
            </c:extLst>
          </c:dPt>
          <c:dPt>
            <c:idx val="1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DD5D-7F4A-8EA6-BBB0064F4087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DD5D-7F4A-8EA6-BBB0064F4087}"/>
              </c:ext>
            </c:extLst>
          </c:dPt>
          <c:dPt>
            <c:idx val="15"/>
            <c:bubble3D val="0"/>
            <c:spPr>
              <a:solidFill>
                <a:srgbClr val="66006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DD5D-7F4A-8EA6-BBB0064F4087}"/>
              </c:ext>
            </c:extLst>
          </c:dPt>
          <c:dPt>
            <c:idx val="16"/>
            <c:bubble3D val="0"/>
            <c:spPr>
              <a:solidFill>
                <a:schemeClr val="bg1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DD5D-7F4A-8EA6-BBB0064F4087}"/>
              </c:ext>
            </c:extLst>
          </c:dPt>
          <c:dPt>
            <c:idx val="17"/>
            <c:bubble3D val="0"/>
            <c:spPr>
              <a:solidFill>
                <a:srgbClr val="FFFF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DD5D-7F4A-8EA6-BBB0064F4087}"/>
              </c:ext>
            </c:extLst>
          </c:dPt>
          <c:cat>
            <c:strRef>
              <c:f>Feuil1!$C$34:$S$34</c:f>
              <c:strCache>
                <c:ptCount val="17"/>
                <c:pt idx="0">
                  <c:v>Other Bacteria</c:v>
                </c:pt>
                <c:pt idx="1">
                  <c:v>Other Pseudomonadota</c:v>
                </c:pt>
                <c:pt idx="2">
                  <c:v>Other Alphaproteobacteria</c:v>
                </c:pt>
                <c:pt idx="3">
                  <c:v>RHAL1</c:v>
                </c:pt>
                <c:pt idx="4">
                  <c:v>Other Beijerinckiaceae</c:v>
                </c:pt>
                <c:pt idx="5">
                  <c:v>JAJXWB01</c:v>
                </c:pt>
                <c:pt idx="6">
                  <c:v>Other Methylocystaceae</c:v>
                </c:pt>
                <c:pt idx="7">
                  <c:v>Methylobacterium</c:v>
                </c:pt>
                <c:pt idx="8">
                  <c:v>Enterovirga</c:v>
                </c:pt>
                <c:pt idx="9">
                  <c:v>Other Methylobacteriaceae</c:v>
                </c:pt>
                <c:pt idx="10">
                  <c:v>Lichenibacterium</c:v>
                </c:pt>
                <c:pt idx="11">
                  <c:v>Lichenifustis</c:v>
                </c:pt>
                <c:pt idx="12">
                  <c:v>Lichenihabitans</c:v>
                </c:pt>
                <c:pt idx="13">
                  <c:v>Other Lichenihabitantaceae</c:v>
                </c:pt>
                <c:pt idx="14">
                  <c:v>Rhizobiaceae</c:v>
                </c:pt>
                <c:pt idx="15">
                  <c:v>Xanthobacteraceae</c:v>
                </c:pt>
                <c:pt idx="16">
                  <c:v>Other Hyphomicrobiales</c:v>
                </c:pt>
              </c:strCache>
            </c:strRef>
          </c:cat>
          <c:val>
            <c:numRef>
              <c:f>Feuil1!$C$39:$S$39</c:f>
              <c:numCache>
                <c:formatCode>0.0%</c:formatCode>
                <c:ptCount val="17"/>
                <c:pt idx="0">
                  <c:v>4.209605482422972E-2</c:v>
                </c:pt>
                <c:pt idx="1">
                  <c:v>5.5553100816060352E-3</c:v>
                </c:pt>
                <c:pt idx="2">
                  <c:v>0.63889582666573896</c:v>
                </c:pt>
                <c:pt idx="3">
                  <c:v>0</c:v>
                </c:pt>
                <c:pt idx="4">
                  <c:v>6.9387677199108603E-3</c:v>
                </c:pt>
                <c:pt idx="7">
                  <c:v>0.1497680642682</c:v>
                </c:pt>
                <c:pt idx="8">
                  <c:v>1.32392415442432E-2</c:v>
                </c:pt>
                <c:pt idx="9">
                  <c:v>3.8616997248291818E-2</c:v>
                </c:pt>
                <c:pt idx="10">
                  <c:v>3.7017341751134601E-2</c:v>
                </c:pt>
                <c:pt idx="11">
                  <c:v>2.4735345438991301E-3</c:v>
                </c:pt>
                <c:pt idx="12">
                  <c:v>2.27686703096539E-4</c:v>
                </c:pt>
                <c:pt idx="13">
                  <c:v>-6.2450045135165055E-17</c:v>
                </c:pt>
                <c:pt idx="14">
                  <c:v>3.2394398847583397E-2</c:v>
                </c:pt>
                <c:pt idx="15">
                  <c:v>1.0119350099139999E-2</c:v>
                </c:pt>
                <c:pt idx="16">
                  <c:v>2.2657425702925504E-2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D5D-7F4A-8EA6-BBB0064F4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14"/>
        <c:secondPieSize val="100"/>
        <c:serLines/>
      </c:ofPieChart>
    </c:plotArea>
    <c:plotVisOnly val="1"/>
    <c:dispBlanksAs val="gap"/>
    <c:showDLblsOverMax val="0"/>
  </c:chart>
  <c:txPr>
    <a:bodyPr/>
    <a:lstStyle/>
    <a:p>
      <a:pPr>
        <a:defRPr>
          <a:latin typeface="Arial"/>
          <a:cs typeface="Arial"/>
        </a:defRPr>
      </a:pPr>
      <a:endParaRPr lang="fr-FR"/>
    </a:p>
  </c:txPr>
  <c:printSettings>
    <c:headerFooter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  <c:txPr>
        <a:bodyPr/>
        <a:lstStyle/>
        <a:p>
          <a:pPr>
            <a:defRPr sz="1200" b="0"/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2256932557343"/>
          <c:y val="9.6692913385826695E-2"/>
          <c:w val="0.82326035604245096"/>
          <c:h val="0.90291159627773798"/>
        </c:manualLayout>
      </c:layout>
      <c:ofPieChart>
        <c:ofPieType val="pie"/>
        <c:varyColors val="1"/>
        <c:ser>
          <c:idx val="0"/>
          <c:order val="0"/>
          <c:tx>
            <c:strRef>
              <c:f>Feuil1!$A$40</c:f>
              <c:strCache>
                <c:ptCount val="1"/>
                <c:pt idx="0">
                  <c:v>Leaves Subtropical Asia,Bamboo,PRJNA718425</c:v>
                </c:pt>
              </c:strCache>
            </c:strRef>
          </c:tx>
          <c:spPr>
            <a:ln w="6350" cmpd="sng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1D12-A443-B322-D8AC85BF2894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1D12-A443-B322-D8AC85BF2894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1D12-A443-B322-D8AC85BF2894}"/>
              </c:ext>
            </c:extLst>
          </c:dPt>
          <c:dPt>
            <c:idx val="3"/>
            <c:bubble3D val="0"/>
            <c:spPr>
              <a:solidFill>
                <a:srgbClr val="0000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1D12-A443-B322-D8AC85BF2894}"/>
              </c:ext>
            </c:extLst>
          </c:dPt>
          <c:dPt>
            <c:idx val="4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1D12-A443-B322-D8AC85BF2894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1D12-A443-B322-D8AC85BF2894}"/>
              </c:ext>
            </c:extLst>
          </c:dPt>
          <c:dPt>
            <c:idx val="6"/>
            <c:bubble3D val="0"/>
            <c:spPr>
              <a:solidFill>
                <a:srgbClr val="FFEDB3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1D12-A443-B322-D8AC85BF2894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1D12-A443-B322-D8AC85BF2894}"/>
              </c:ext>
            </c:extLst>
          </c:dPt>
          <c:dPt>
            <c:idx val="8"/>
            <c:bubble3D val="0"/>
            <c:spPr>
              <a:solidFill>
                <a:srgbClr val="F3AEA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1D12-A443-B322-D8AC85BF2894}"/>
              </c:ext>
            </c:extLst>
          </c:dPt>
          <c:dPt>
            <c:idx val="9"/>
            <c:bubble3D val="0"/>
            <c:spPr>
              <a:solidFill>
                <a:srgbClr val="FFDDD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1D12-A443-B322-D8AC85BF2894}"/>
              </c:ext>
            </c:extLst>
          </c:dPt>
          <c:dPt>
            <c:idx val="10"/>
            <c:bubble3D val="0"/>
            <c:spPr>
              <a:solidFill>
                <a:schemeClr val="accent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1D12-A443-B322-D8AC85BF2894}"/>
              </c:ext>
            </c:extLst>
          </c:dPt>
          <c:dPt>
            <c:idx val="11"/>
            <c:bubble3D val="0"/>
            <c:spPr>
              <a:solidFill>
                <a:srgbClr val="1CD9B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1D12-A443-B322-D8AC85BF2894}"/>
              </c:ext>
            </c:extLst>
          </c:dPt>
          <c:dPt>
            <c:idx val="12"/>
            <c:bubble3D val="0"/>
            <c:spPr>
              <a:solidFill>
                <a:schemeClr val="accent6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1D12-A443-B322-D8AC85BF2894}"/>
              </c:ext>
            </c:extLst>
          </c:dPt>
          <c:dPt>
            <c:idx val="1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1D12-A443-B322-D8AC85BF2894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1D12-A443-B322-D8AC85BF2894}"/>
              </c:ext>
            </c:extLst>
          </c:dPt>
          <c:dPt>
            <c:idx val="15"/>
            <c:bubble3D val="0"/>
            <c:spPr>
              <a:solidFill>
                <a:srgbClr val="66006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1D12-A443-B322-D8AC85BF2894}"/>
              </c:ext>
            </c:extLst>
          </c:dPt>
          <c:dPt>
            <c:idx val="16"/>
            <c:bubble3D val="0"/>
            <c:spPr>
              <a:solidFill>
                <a:schemeClr val="bg1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1D12-A443-B322-D8AC85BF2894}"/>
              </c:ext>
            </c:extLst>
          </c:dPt>
          <c:dPt>
            <c:idx val="17"/>
            <c:bubble3D val="0"/>
            <c:spPr>
              <a:solidFill>
                <a:srgbClr val="FFFF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1D12-A443-B322-D8AC85BF2894}"/>
              </c:ext>
            </c:extLst>
          </c:dPt>
          <c:cat>
            <c:strRef>
              <c:f>Feuil1!$C$34:$S$34</c:f>
              <c:strCache>
                <c:ptCount val="17"/>
                <c:pt idx="0">
                  <c:v>Other Bacteria</c:v>
                </c:pt>
                <c:pt idx="1">
                  <c:v>Other Pseudomonadota</c:v>
                </c:pt>
                <c:pt idx="2">
                  <c:v>Other Alphaproteobacteria</c:v>
                </c:pt>
                <c:pt idx="3">
                  <c:v>RHAL1</c:v>
                </c:pt>
                <c:pt idx="4">
                  <c:v>Other Beijerinckiaceae</c:v>
                </c:pt>
                <c:pt idx="5">
                  <c:v>JAJXWB01</c:v>
                </c:pt>
                <c:pt idx="6">
                  <c:v>Other Methylocystaceae</c:v>
                </c:pt>
                <c:pt idx="7">
                  <c:v>Methylobacterium</c:v>
                </c:pt>
                <c:pt idx="8">
                  <c:v>Enterovirga</c:v>
                </c:pt>
                <c:pt idx="9">
                  <c:v>Other Methylobacteriaceae</c:v>
                </c:pt>
                <c:pt idx="10">
                  <c:v>Lichenibacterium</c:v>
                </c:pt>
                <c:pt idx="11">
                  <c:v>Lichenifustis</c:v>
                </c:pt>
                <c:pt idx="12">
                  <c:v>Lichenihabitans</c:v>
                </c:pt>
                <c:pt idx="13">
                  <c:v>Other Lichenihabitantaceae</c:v>
                </c:pt>
                <c:pt idx="14">
                  <c:v>Rhizobiaceae</c:v>
                </c:pt>
                <c:pt idx="15">
                  <c:v>Xanthobacteraceae</c:v>
                </c:pt>
                <c:pt idx="16">
                  <c:v>Other Hyphomicrobiales</c:v>
                </c:pt>
              </c:strCache>
            </c:strRef>
          </c:cat>
          <c:val>
            <c:numRef>
              <c:f>Feuil1!$C$40:$S$40</c:f>
              <c:numCache>
                <c:formatCode>0.0%</c:formatCode>
                <c:ptCount val="17"/>
                <c:pt idx="0">
                  <c:v>0.44652805280528102</c:v>
                </c:pt>
                <c:pt idx="1">
                  <c:v>0.10378217821782204</c:v>
                </c:pt>
                <c:pt idx="2">
                  <c:v>0.29176237623762402</c:v>
                </c:pt>
                <c:pt idx="3">
                  <c:v>5.05610561056106E-3</c:v>
                </c:pt>
                <c:pt idx="4">
                  <c:v>1.7455445544554443E-2</c:v>
                </c:pt>
                <c:pt idx="7">
                  <c:v>6.3399339933993401E-3</c:v>
                </c:pt>
                <c:pt idx="8">
                  <c:v>2.1782178217821799E-4</c:v>
                </c:pt>
                <c:pt idx="9">
                  <c:v>9.90099009901017E-5</c:v>
                </c:pt>
                <c:pt idx="10">
                  <c:v>9.9871287128712793E-2</c:v>
                </c:pt>
                <c:pt idx="11">
                  <c:v>1.02409240924092E-2</c:v>
                </c:pt>
                <c:pt idx="12">
                  <c:v>5.6468646864686499E-3</c:v>
                </c:pt>
                <c:pt idx="13">
                  <c:v>1.4851485148513616E-3</c:v>
                </c:pt>
                <c:pt idx="14">
                  <c:v>1.6600660066006601E-3</c:v>
                </c:pt>
                <c:pt idx="15">
                  <c:v>2E-3</c:v>
                </c:pt>
                <c:pt idx="16">
                  <c:v>7.8547854785481763E-3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1D12-A443-B322-D8AC85BF2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14"/>
        <c:secondPieSize val="100"/>
        <c:serLines/>
      </c:ofPieChart>
    </c:plotArea>
    <c:plotVisOnly val="1"/>
    <c:dispBlanksAs val="gap"/>
    <c:showDLblsOverMax val="0"/>
  </c:chart>
  <c:txPr>
    <a:bodyPr/>
    <a:lstStyle/>
    <a:p>
      <a:pPr>
        <a:defRPr>
          <a:latin typeface="Arial"/>
          <a:cs typeface="Arial"/>
        </a:defRPr>
      </a:pPr>
      <a:endParaRPr lang="fr-FR"/>
    </a:p>
  </c:txPr>
  <c:printSettings>
    <c:headerFooter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  <c:txPr>
        <a:bodyPr/>
        <a:lstStyle/>
        <a:p>
          <a:pPr>
            <a:defRPr sz="1200" b="0"/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2256932557343"/>
          <c:y val="9.6692913385826695E-2"/>
          <c:w val="0.82326035604245096"/>
          <c:h val="0.90291159627773798"/>
        </c:manualLayout>
      </c:layout>
      <c:ofPieChart>
        <c:ofPieType val="pie"/>
        <c:varyColors val="1"/>
        <c:ser>
          <c:idx val="0"/>
          <c:order val="0"/>
          <c:tx>
            <c:strRef>
              <c:f>Feuil1!$A$41</c:f>
              <c:strCache>
                <c:ptCount val="1"/>
                <c:pt idx="0">
                  <c:v>Leaves Subtropical Asia,Forest,PRJNA1001021-5k</c:v>
                </c:pt>
              </c:strCache>
            </c:strRef>
          </c:tx>
          <c:spPr>
            <a:ln w="6350" cmpd="sng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ACB0-4945-8775-95CA30E2C6A8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CB0-4945-8775-95CA30E2C6A8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ACB0-4945-8775-95CA30E2C6A8}"/>
              </c:ext>
            </c:extLst>
          </c:dPt>
          <c:dPt>
            <c:idx val="3"/>
            <c:bubble3D val="0"/>
            <c:spPr>
              <a:solidFill>
                <a:srgbClr val="0000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ACB0-4945-8775-95CA30E2C6A8}"/>
              </c:ext>
            </c:extLst>
          </c:dPt>
          <c:dPt>
            <c:idx val="4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ACB0-4945-8775-95CA30E2C6A8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ACB0-4945-8775-95CA30E2C6A8}"/>
              </c:ext>
            </c:extLst>
          </c:dPt>
          <c:dPt>
            <c:idx val="6"/>
            <c:bubble3D val="0"/>
            <c:spPr>
              <a:solidFill>
                <a:srgbClr val="FFEDB3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ACB0-4945-8775-95CA30E2C6A8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ACB0-4945-8775-95CA30E2C6A8}"/>
              </c:ext>
            </c:extLst>
          </c:dPt>
          <c:dPt>
            <c:idx val="8"/>
            <c:bubble3D val="0"/>
            <c:spPr>
              <a:solidFill>
                <a:srgbClr val="F3AEA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ACB0-4945-8775-95CA30E2C6A8}"/>
              </c:ext>
            </c:extLst>
          </c:dPt>
          <c:dPt>
            <c:idx val="9"/>
            <c:bubble3D val="0"/>
            <c:spPr>
              <a:solidFill>
                <a:srgbClr val="FFDDD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ACB0-4945-8775-95CA30E2C6A8}"/>
              </c:ext>
            </c:extLst>
          </c:dPt>
          <c:dPt>
            <c:idx val="10"/>
            <c:bubble3D val="0"/>
            <c:spPr>
              <a:solidFill>
                <a:schemeClr val="accent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ACB0-4945-8775-95CA30E2C6A8}"/>
              </c:ext>
            </c:extLst>
          </c:dPt>
          <c:dPt>
            <c:idx val="11"/>
            <c:bubble3D val="0"/>
            <c:spPr>
              <a:solidFill>
                <a:srgbClr val="1CD9B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ACB0-4945-8775-95CA30E2C6A8}"/>
              </c:ext>
            </c:extLst>
          </c:dPt>
          <c:dPt>
            <c:idx val="12"/>
            <c:bubble3D val="0"/>
            <c:spPr>
              <a:solidFill>
                <a:schemeClr val="accent6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ACB0-4945-8775-95CA30E2C6A8}"/>
              </c:ext>
            </c:extLst>
          </c:dPt>
          <c:dPt>
            <c:idx val="1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ACB0-4945-8775-95CA30E2C6A8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ACB0-4945-8775-95CA30E2C6A8}"/>
              </c:ext>
            </c:extLst>
          </c:dPt>
          <c:dPt>
            <c:idx val="15"/>
            <c:bubble3D val="0"/>
            <c:spPr>
              <a:solidFill>
                <a:srgbClr val="66006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ACB0-4945-8775-95CA30E2C6A8}"/>
              </c:ext>
            </c:extLst>
          </c:dPt>
          <c:dPt>
            <c:idx val="16"/>
            <c:bubble3D val="0"/>
            <c:spPr>
              <a:solidFill>
                <a:schemeClr val="bg1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ACB0-4945-8775-95CA30E2C6A8}"/>
              </c:ext>
            </c:extLst>
          </c:dPt>
          <c:dPt>
            <c:idx val="17"/>
            <c:bubble3D val="0"/>
            <c:spPr>
              <a:solidFill>
                <a:srgbClr val="FFFF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ACB0-4945-8775-95CA30E2C6A8}"/>
              </c:ext>
            </c:extLst>
          </c:dPt>
          <c:cat>
            <c:strRef>
              <c:f>Feuil1!$C$34:$S$34</c:f>
              <c:strCache>
                <c:ptCount val="17"/>
                <c:pt idx="0">
                  <c:v>Other Bacteria</c:v>
                </c:pt>
                <c:pt idx="1">
                  <c:v>Other Pseudomonadota</c:v>
                </c:pt>
                <c:pt idx="2">
                  <c:v>Other Alphaproteobacteria</c:v>
                </c:pt>
                <c:pt idx="3">
                  <c:v>RHAL1</c:v>
                </c:pt>
                <c:pt idx="4">
                  <c:v>Other Beijerinckiaceae</c:v>
                </c:pt>
                <c:pt idx="5">
                  <c:v>JAJXWB01</c:v>
                </c:pt>
                <c:pt idx="6">
                  <c:v>Other Methylocystaceae</c:v>
                </c:pt>
                <c:pt idx="7">
                  <c:v>Methylobacterium</c:v>
                </c:pt>
                <c:pt idx="8">
                  <c:v>Enterovirga</c:v>
                </c:pt>
                <c:pt idx="9">
                  <c:v>Other Methylobacteriaceae</c:v>
                </c:pt>
                <c:pt idx="10">
                  <c:v>Lichenibacterium</c:v>
                </c:pt>
                <c:pt idx="11">
                  <c:v>Lichenifustis</c:v>
                </c:pt>
                <c:pt idx="12">
                  <c:v>Lichenihabitans</c:v>
                </c:pt>
                <c:pt idx="13">
                  <c:v>Other Lichenihabitantaceae</c:v>
                </c:pt>
                <c:pt idx="14">
                  <c:v>Rhizobiaceae</c:v>
                </c:pt>
                <c:pt idx="15">
                  <c:v>Xanthobacteraceae</c:v>
                </c:pt>
                <c:pt idx="16">
                  <c:v>Other Hyphomicrobiales</c:v>
                </c:pt>
              </c:strCache>
            </c:strRef>
          </c:cat>
          <c:val>
            <c:numRef>
              <c:f>Feuil1!$C$41:$S$41</c:f>
              <c:numCache>
                <c:formatCode>0.0%</c:formatCode>
                <c:ptCount val="17"/>
                <c:pt idx="0">
                  <c:v>0.269147415390599</c:v>
                </c:pt>
                <c:pt idx="1">
                  <c:v>0.21874037450007</c:v>
                </c:pt>
                <c:pt idx="2">
                  <c:v>0.19668542779971393</c:v>
                </c:pt>
                <c:pt idx="3">
                  <c:v>2.2226425528100802E-3</c:v>
                </c:pt>
                <c:pt idx="4">
                  <c:v>3.7762595168919423E-2</c:v>
                </c:pt>
                <c:pt idx="7">
                  <c:v>5.3011995219844898E-2</c:v>
                </c:pt>
                <c:pt idx="8">
                  <c:v>5.9926160008837398E-4</c:v>
                </c:pt>
                <c:pt idx="9">
                  <c:v>1.9066266846819308E-3</c:v>
                </c:pt>
                <c:pt idx="10">
                  <c:v>0.1752147246197</c:v>
                </c:pt>
                <c:pt idx="11">
                  <c:v>1.2275284957192E-2</c:v>
                </c:pt>
                <c:pt idx="12">
                  <c:v>9.8948670377242001E-6</c:v>
                </c:pt>
                <c:pt idx="13">
                  <c:v>2.0408287075027176E-4</c:v>
                </c:pt>
                <c:pt idx="14">
                  <c:v>3.6580563247333299E-3</c:v>
                </c:pt>
                <c:pt idx="15">
                  <c:v>1.41991672095413E-3</c:v>
                </c:pt>
                <c:pt idx="16">
                  <c:v>2.7141700722904838E-2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ACB0-4945-8775-95CA30E2C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14"/>
        <c:secondPieSize val="100"/>
        <c:serLines/>
      </c:ofPieChart>
    </c:plotArea>
    <c:plotVisOnly val="1"/>
    <c:dispBlanksAs val="gap"/>
    <c:showDLblsOverMax val="0"/>
  </c:chart>
  <c:txPr>
    <a:bodyPr/>
    <a:lstStyle/>
    <a:p>
      <a:pPr>
        <a:defRPr>
          <a:latin typeface="Arial"/>
          <a:cs typeface="Arial"/>
        </a:defRPr>
      </a:pPr>
      <a:endParaRPr lang="fr-FR"/>
    </a:p>
  </c:txPr>
  <c:printSettings>
    <c:headerFooter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  <c:txPr>
        <a:bodyPr/>
        <a:lstStyle/>
        <a:p>
          <a:pPr>
            <a:defRPr sz="1200" b="0"/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2256932557343"/>
          <c:y val="9.6692913385826695E-2"/>
          <c:w val="0.82326035604245096"/>
          <c:h val="0.90291159627773798"/>
        </c:manualLayout>
      </c:layout>
      <c:ofPieChart>
        <c:ofPieType val="pie"/>
        <c:varyColors val="1"/>
        <c:ser>
          <c:idx val="0"/>
          <c:order val="0"/>
          <c:tx>
            <c:strRef>
              <c:f>Feuil1!$A$42</c:f>
              <c:strCache>
                <c:ptCount val="1"/>
                <c:pt idx="0">
                  <c:v>Leaves Temperate Asia,Forest,PRJNA1001021-5k</c:v>
                </c:pt>
              </c:strCache>
            </c:strRef>
          </c:tx>
          <c:spPr>
            <a:ln w="6350" cmpd="sng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377C-7F44-A648-969BC241B9A0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377C-7F44-A648-969BC241B9A0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377C-7F44-A648-969BC241B9A0}"/>
              </c:ext>
            </c:extLst>
          </c:dPt>
          <c:dPt>
            <c:idx val="3"/>
            <c:bubble3D val="0"/>
            <c:spPr>
              <a:solidFill>
                <a:srgbClr val="0000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377C-7F44-A648-969BC241B9A0}"/>
              </c:ext>
            </c:extLst>
          </c:dPt>
          <c:dPt>
            <c:idx val="4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377C-7F44-A648-969BC241B9A0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377C-7F44-A648-969BC241B9A0}"/>
              </c:ext>
            </c:extLst>
          </c:dPt>
          <c:dPt>
            <c:idx val="6"/>
            <c:bubble3D val="0"/>
            <c:spPr>
              <a:solidFill>
                <a:srgbClr val="FFEDB3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377C-7F44-A648-969BC241B9A0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377C-7F44-A648-969BC241B9A0}"/>
              </c:ext>
            </c:extLst>
          </c:dPt>
          <c:dPt>
            <c:idx val="8"/>
            <c:bubble3D val="0"/>
            <c:spPr>
              <a:solidFill>
                <a:srgbClr val="F3AEA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377C-7F44-A648-969BC241B9A0}"/>
              </c:ext>
            </c:extLst>
          </c:dPt>
          <c:dPt>
            <c:idx val="9"/>
            <c:bubble3D val="0"/>
            <c:spPr>
              <a:solidFill>
                <a:srgbClr val="FFDDD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377C-7F44-A648-969BC241B9A0}"/>
              </c:ext>
            </c:extLst>
          </c:dPt>
          <c:dPt>
            <c:idx val="10"/>
            <c:bubble3D val="0"/>
            <c:spPr>
              <a:solidFill>
                <a:schemeClr val="accent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377C-7F44-A648-969BC241B9A0}"/>
              </c:ext>
            </c:extLst>
          </c:dPt>
          <c:dPt>
            <c:idx val="11"/>
            <c:bubble3D val="0"/>
            <c:spPr>
              <a:solidFill>
                <a:srgbClr val="1CD9B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377C-7F44-A648-969BC241B9A0}"/>
              </c:ext>
            </c:extLst>
          </c:dPt>
          <c:dPt>
            <c:idx val="12"/>
            <c:bubble3D val="0"/>
            <c:spPr>
              <a:solidFill>
                <a:schemeClr val="accent6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377C-7F44-A648-969BC241B9A0}"/>
              </c:ext>
            </c:extLst>
          </c:dPt>
          <c:dPt>
            <c:idx val="1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377C-7F44-A648-969BC241B9A0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377C-7F44-A648-969BC241B9A0}"/>
              </c:ext>
            </c:extLst>
          </c:dPt>
          <c:dPt>
            <c:idx val="15"/>
            <c:bubble3D val="0"/>
            <c:spPr>
              <a:solidFill>
                <a:srgbClr val="66006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377C-7F44-A648-969BC241B9A0}"/>
              </c:ext>
            </c:extLst>
          </c:dPt>
          <c:dPt>
            <c:idx val="16"/>
            <c:bubble3D val="0"/>
            <c:spPr>
              <a:solidFill>
                <a:schemeClr val="bg1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377C-7F44-A648-969BC241B9A0}"/>
              </c:ext>
            </c:extLst>
          </c:dPt>
          <c:dPt>
            <c:idx val="17"/>
            <c:bubble3D val="0"/>
            <c:spPr>
              <a:solidFill>
                <a:srgbClr val="FFFF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377C-7F44-A648-969BC241B9A0}"/>
              </c:ext>
            </c:extLst>
          </c:dPt>
          <c:cat>
            <c:strRef>
              <c:f>Feuil1!$C$34:$S$34</c:f>
              <c:strCache>
                <c:ptCount val="17"/>
                <c:pt idx="0">
                  <c:v>Other Bacteria</c:v>
                </c:pt>
                <c:pt idx="1">
                  <c:v>Other Pseudomonadota</c:v>
                </c:pt>
                <c:pt idx="2">
                  <c:v>Other Alphaproteobacteria</c:v>
                </c:pt>
                <c:pt idx="3">
                  <c:v>RHAL1</c:v>
                </c:pt>
                <c:pt idx="4">
                  <c:v>Other Beijerinckiaceae</c:v>
                </c:pt>
                <c:pt idx="5">
                  <c:v>JAJXWB01</c:v>
                </c:pt>
                <c:pt idx="6">
                  <c:v>Other Methylocystaceae</c:v>
                </c:pt>
                <c:pt idx="7">
                  <c:v>Methylobacterium</c:v>
                </c:pt>
                <c:pt idx="8">
                  <c:v>Enterovirga</c:v>
                </c:pt>
                <c:pt idx="9">
                  <c:v>Other Methylobacteriaceae</c:v>
                </c:pt>
                <c:pt idx="10">
                  <c:v>Lichenibacterium</c:v>
                </c:pt>
                <c:pt idx="11">
                  <c:v>Lichenifustis</c:v>
                </c:pt>
                <c:pt idx="12">
                  <c:v>Lichenihabitans</c:v>
                </c:pt>
                <c:pt idx="13">
                  <c:v>Other Lichenihabitantaceae</c:v>
                </c:pt>
                <c:pt idx="14">
                  <c:v>Rhizobiaceae</c:v>
                </c:pt>
                <c:pt idx="15">
                  <c:v>Xanthobacteraceae</c:v>
                </c:pt>
                <c:pt idx="16">
                  <c:v>Other Hyphomicrobiales</c:v>
                </c:pt>
              </c:strCache>
            </c:strRef>
          </c:cat>
          <c:val>
            <c:numRef>
              <c:f>Feuil1!$C$42:$S$42</c:f>
              <c:numCache>
                <c:formatCode>0.0%</c:formatCode>
                <c:ptCount val="17"/>
                <c:pt idx="0">
                  <c:v>0.36072196029898185</c:v>
                </c:pt>
                <c:pt idx="1">
                  <c:v>0.26095808289215605</c:v>
                </c:pt>
                <c:pt idx="2">
                  <c:v>0.24127696876612398</c:v>
                </c:pt>
                <c:pt idx="3">
                  <c:v>4.3083900226757302E-5</c:v>
                </c:pt>
                <c:pt idx="4">
                  <c:v>2.9931972789115668E-4</c:v>
                </c:pt>
                <c:pt idx="7">
                  <c:v>7.7747716805370196E-2</c:v>
                </c:pt>
                <c:pt idx="8">
                  <c:v>1.2902517019407901E-3</c:v>
                </c:pt>
                <c:pt idx="9">
                  <c:v>1.7165786232132135E-3</c:v>
                </c:pt>
                <c:pt idx="10">
                  <c:v>2.4380206185943599E-2</c:v>
                </c:pt>
                <c:pt idx="11">
                  <c:v>2.9195257106384102E-3</c:v>
                </c:pt>
                <c:pt idx="12">
                  <c:v>1.7347241269925301E-4</c:v>
                </c:pt>
                <c:pt idx="13">
                  <c:v>7.3696145124736712E-5</c:v>
                </c:pt>
                <c:pt idx="14">
                  <c:v>2.0641759654077899E-2</c:v>
                </c:pt>
                <c:pt idx="15">
                  <c:v>1.7505668934240401E-3</c:v>
                </c:pt>
                <c:pt idx="16">
                  <c:v>6.006810282187941E-3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377C-7F44-A648-969BC241B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14"/>
        <c:secondPieSize val="100"/>
        <c:serLines/>
      </c:ofPieChart>
    </c:plotArea>
    <c:plotVisOnly val="1"/>
    <c:dispBlanksAs val="gap"/>
    <c:showDLblsOverMax val="0"/>
  </c:chart>
  <c:txPr>
    <a:bodyPr/>
    <a:lstStyle/>
    <a:p>
      <a:pPr>
        <a:defRPr>
          <a:latin typeface="Arial"/>
          <a:cs typeface="Arial"/>
        </a:defRPr>
      </a:pPr>
      <a:endParaRPr lang="fr-FR"/>
    </a:p>
  </c:txPr>
  <c:printSettings>
    <c:headerFooter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  <c:txPr>
        <a:bodyPr/>
        <a:lstStyle/>
        <a:p>
          <a:pPr>
            <a:defRPr sz="1200" b="0"/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2256932557343"/>
          <c:y val="9.6692913385826695E-2"/>
          <c:w val="0.82326035604245096"/>
          <c:h val="0.90291159627773798"/>
        </c:manualLayout>
      </c:layout>
      <c:ofPieChart>
        <c:ofPieType val="pie"/>
        <c:varyColors val="1"/>
        <c:ser>
          <c:idx val="0"/>
          <c:order val="0"/>
          <c:tx>
            <c:strRef>
              <c:f>Feuil1!$A$43</c:f>
              <c:strCache>
                <c:ptCount val="1"/>
                <c:pt idx="0">
                  <c:v>Leaves Temperate Europe,Forest,PRJEB36420</c:v>
                </c:pt>
              </c:strCache>
            </c:strRef>
          </c:tx>
          <c:spPr>
            <a:ln w="6350" cmpd="sng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5C49-BD4B-8F3C-FCD47B1F01DA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C49-BD4B-8F3C-FCD47B1F01DA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C49-BD4B-8F3C-FCD47B1F01DA}"/>
              </c:ext>
            </c:extLst>
          </c:dPt>
          <c:dPt>
            <c:idx val="3"/>
            <c:bubble3D val="0"/>
            <c:spPr>
              <a:solidFill>
                <a:srgbClr val="0000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5C49-BD4B-8F3C-FCD47B1F01DA}"/>
              </c:ext>
            </c:extLst>
          </c:dPt>
          <c:dPt>
            <c:idx val="4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5C49-BD4B-8F3C-FCD47B1F01DA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5C49-BD4B-8F3C-FCD47B1F01DA}"/>
              </c:ext>
            </c:extLst>
          </c:dPt>
          <c:dPt>
            <c:idx val="6"/>
            <c:bubble3D val="0"/>
            <c:spPr>
              <a:solidFill>
                <a:srgbClr val="FFEDB3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5C49-BD4B-8F3C-FCD47B1F01DA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5C49-BD4B-8F3C-FCD47B1F01DA}"/>
              </c:ext>
            </c:extLst>
          </c:dPt>
          <c:dPt>
            <c:idx val="8"/>
            <c:bubble3D val="0"/>
            <c:spPr>
              <a:solidFill>
                <a:srgbClr val="F3AEA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5C49-BD4B-8F3C-FCD47B1F01DA}"/>
              </c:ext>
            </c:extLst>
          </c:dPt>
          <c:dPt>
            <c:idx val="9"/>
            <c:bubble3D val="0"/>
            <c:spPr>
              <a:solidFill>
                <a:srgbClr val="FFDDD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5C49-BD4B-8F3C-FCD47B1F01DA}"/>
              </c:ext>
            </c:extLst>
          </c:dPt>
          <c:dPt>
            <c:idx val="10"/>
            <c:bubble3D val="0"/>
            <c:spPr>
              <a:solidFill>
                <a:schemeClr val="accent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5C49-BD4B-8F3C-FCD47B1F01DA}"/>
              </c:ext>
            </c:extLst>
          </c:dPt>
          <c:dPt>
            <c:idx val="11"/>
            <c:bubble3D val="0"/>
            <c:spPr>
              <a:solidFill>
                <a:srgbClr val="1CD9B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5C49-BD4B-8F3C-FCD47B1F01DA}"/>
              </c:ext>
            </c:extLst>
          </c:dPt>
          <c:dPt>
            <c:idx val="12"/>
            <c:bubble3D val="0"/>
            <c:spPr>
              <a:solidFill>
                <a:schemeClr val="accent6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5C49-BD4B-8F3C-FCD47B1F01DA}"/>
              </c:ext>
            </c:extLst>
          </c:dPt>
          <c:dPt>
            <c:idx val="1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5C49-BD4B-8F3C-FCD47B1F01DA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5C49-BD4B-8F3C-FCD47B1F01DA}"/>
              </c:ext>
            </c:extLst>
          </c:dPt>
          <c:dPt>
            <c:idx val="15"/>
            <c:bubble3D val="0"/>
            <c:spPr>
              <a:solidFill>
                <a:srgbClr val="66006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5C49-BD4B-8F3C-FCD47B1F01DA}"/>
              </c:ext>
            </c:extLst>
          </c:dPt>
          <c:dPt>
            <c:idx val="16"/>
            <c:bubble3D val="0"/>
            <c:spPr>
              <a:solidFill>
                <a:schemeClr val="bg1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5C49-BD4B-8F3C-FCD47B1F01DA}"/>
              </c:ext>
            </c:extLst>
          </c:dPt>
          <c:dPt>
            <c:idx val="17"/>
            <c:bubble3D val="0"/>
            <c:spPr>
              <a:solidFill>
                <a:srgbClr val="FFFF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5C49-BD4B-8F3C-FCD47B1F01DA}"/>
              </c:ext>
            </c:extLst>
          </c:dPt>
          <c:cat>
            <c:strRef>
              <c:f>Feuil1!$C$34:$S$34</c:f>
              <c:strCache>
                <c:ptCount val="17"/>
                <c:pt idx="0">
                  <c:v>Other Bacteria</c:v>
                </c:pt>
                <c:pt idx="1">
                  <c:v>Other Pseudomonadota</c:v>
                </c:pt>
                <c:pt idx="2">
                  <c:v>Other Alphaproteobacteria</c:v>
                </c:pt>
                <c:pt idx="3">
                  <c:v>RHAL1</c:v>
                </c:pt>
                <c:pt idx="4">
                  <c:v>Other Beijerinckiaceae</c:v>
                </c:pt>
                <c:pt idx="5">
                  <c:v>JAJXWB01</c:v>
                </c:pt>
                <c:pt idx="6">
                  <c:v>Other Methylocystaceae</c:v>
                </c:pt>
                <c:pt idx="7">
                  <c:v>Methylobacterium</c:v>
                </c:pt>
                <c:pt idx="8">
                  <c:v>Enterovirga</c:v>
                </c:pt>
                <c:pt idx="9">
                  <c:v>Other Methylobacteriaceae</c:v>
                </c:pt>
                <c:pt idx="10">
                  <c:v>Lichenibacterium</c:v>
                </c:pt>
                <c:pt idx="11">
                  <c:v>Lichenifustis</c:v>
                </c:pt>
                <c:pt idx="12">
                  <c:v>Lichenihabitans</c:v>
                </c:pt>
                <c:pt idx="13">
                  <c:v>Other Lichenihabitantaceae</c:v>
                </c:pt>
                <c:pt idx="14">
                  <c:v>Rhizobiaceae</c:v>
                </c:pt>
                <c:pt idx="15">
                  <c:v>Xanthobacteraceae</c:v>
                </c:pt>
                <c:pt idx="16">
                  <c:v>Other Hyphomicrobiales</c:v>
                </c:pt>
              </c:strCache>
            </c:strRef>
          </c:cat>
          <c:val>
            <c:numRef>
              <c:f>Feuil1!$C$43:$S$43</c:f>
              <c:numCache>
                <c:formatCode>0.0%</c:formatCode>
                <c:ptCount val="17"/>
                <c:pt idx="0">
                  <c:v>0.74881069637681075</c:v>
                </c:pt>
                <c:pt idx="1">
                  <c:v>8.4608760560454965E-2</c:v>
                </c:pt>
                <c:pt idx="2">
                  <c:v>9.8923764911661105E-2</c:v>
                </c:pt>
                <c:pt idx="3">
                  <c:v>0</c:v>
                </c:pt>
                <c:pt idx="4">
                  <c:v>1.3381718386227899E-3</c:v>
                </c:pt>
                <c:pt idx="7">
                  <c:v>1.0601075364356401E-2</c:v>
                </c:pt>
                <c:pt idx="8">
                  <c:v>5.8384814554343601E-5</c:v>
                </c:pt>
                <c:pt idx="9">
                  <c:v>-4.5102810375396984E-17</c:v>
                </c:pt>
                <c:pt idx="10">
                  <c:v>4.9377594054337899E-2</c:v>
                </c:pt>
                <c:pt idx="11">
                  <c:v>1.9973008402387402E-3</c:v>
                </c:pt>
                <c:pt idx="12">
                  <c:v>1.4596434861554301E-4</c:v>
                </c:pt>
                <c:pt idx="13">
                  <c:v>8.3361120374186859E-6</c:v>
                </c:pt>
                <c:pt idx="14">
                  <c:v>3.6169031539781001E-3</c:v>
                </c:pt>
                <c:pt idx="15">
                  <c:v>4.5848628264697E-5</c:v>
                </c:pt>
                <c:pt idx="16">
                  <c:v>4.6719899606803561E-4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5C49-BD4B-8F3C-FCD47B1F0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14"/>
        <c:secondPieSize val="100"/>
        <c:serLines/>
      </c:ofPieChart>
    </c:plotArea>
    <c:plotVisOnly val="1"/>
    <c:dispBlanksAs val="gap"/>
    <c:showDLblsOverMax val="0"/>
  </c:chart>
  <c:txPr>
    <a:bodyPr/>
    <a:lstStyle/>
    <a:p>
      <a:pPr>
        <a:defRPr>
          <a:latin typeface="Arial"/>
          <a:cs typeface="Arial"/>
        </a:defRPr>
      </a:pPr>
      <a:endParaRPr lang="fr-FR"/>
    </a:p>
  </c:txPr>
  <c:printSettings>
    <c:headerFooter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  <c:txPr>
        <a:bodyPr/>
        <a:lstStyle/>
        <a:p>
          <a:pPr>
            <a:defRPr sz="1200" b="0"/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2256932557343"/>
          <c:y val="9.6692913385826695E-2"/>
          <c:w val="0.82326035604245096"/>
          <c:h val="0.90291159627773798"/>
        </c:manualLayout>
      </c:layout>
      <c:ofPieChart>
        <c:ofPieType val="pie"/>
        <c:varyColors val="1"/>
        <c:ser>
          <c:idx val="0"/>
          <c:order val="0"/>
          <c:tx>
            <c:strRef>
              <c:f>Feuil1!$A$44</c:f>
              <c:strCache>
                <c:ptCount val="1"/>
                <c:pt idx="0">
                  <c:v>Leaves Temperate Europe,Grapevine,PRJEB59055</c:v>
                </c:pt>
              </c:strCache>
            </c:strRef>
          </c:tx>
          <c:spPr>
            <a:ln w="6350" cmpd="sng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0FD4-604D-9411-37CF70DC717B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0FD4-604D-9411-37CF70DC717B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0FD4-604D-9411-37CF70DC717B}"/>
              </c:ext>
            </c:extLst>
          </c:dPt>
          <c:dPt>
            <c:idx val="3"/>
            <c:bubble3D val="0"/>
            <c:spPr>
              <a:solidFill>
                <a:srgbClr val="0000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0FD4-604D-9411-37CF70DC717B}"/>
              </c:ext>
            </c:extLst>
          </c:dPt>
          <c:dPt>
            <c:idx val="4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0FD4-604D-9411-37CF70DC717B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0FD4-604D-9411-37CF70DC717B}"/>
              </c:ext>
            </c:extLst>
          </c:dPt>
          <c:dPt>
            <c:idx val="6"/>
            <c:bubble3D val="0"/>
            <c:spPr>
              <a:solidFill>
                <a:srgbClr val="FFEDB3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0FD4-604D-9411-37CF70DC717B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0FD4-604D-9411-37CF70DC717B}"/>
              </c:ext>
            </c:extLst>
          </c:dPt>
          <c:dPt>
            <c:idx val="8"/>
            <c:bubble3D val="0"/>
            <c:spPr>
              <a:solidFill>
                <a:srgbClr val="F3AEA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0FD4-604D-9411-37CF70DC717B}"/>
              </c:ext>
            </c:extLst>
          </c:dPt>
          <c:dPt>
            <c:idx val="9"/>
            <c:bubble3D val="0"/>
            <c:spPr>
              <a:solidFill>
                <a:srgbClr val="FFDDD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0FD4-604D-9411-37CF70DC717B}"/>
              </c:ext>
            </c:extLst>
          </c:dPt>
          <c:dPt>
            <c:idx val="10"/>
            <c:bubble3D val="0"/>
            <c:spPr>
              <a:solidFill>
                <a:schemeClr val="accent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0FD4-604D-9411-37CF70DC717B}"/>
              </c:ext>
            </c:extLst>
          </c:dPt>
          <c:dPt>
            <c:idx val="11"/>
            <c:bubble3D val="0"/>
            <c:spPr>
              <a:solidFill>
                <a:srgbClr val="1CD9B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0FD4-604D-9411-37CF70DC717B}"/>
              </c:ext>
            </c:extLst>
          </c:dPt>
          <c:dPt>
            <c:idx val="12"/>
            <c:bubble3D val="0"/>
            <c:spPr>
              <a:solidFill>
                <a:schemeClr val="accent6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0FD4-604D-9411-37CF70DC717B}"/>
              </c:ext>
            </c:extLst>
          </c:dPt>
          <c:dPt>
            <c:idx val="1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0FD4-604D-9411-37CF70DC717B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0FD4-604D-9411-37CF70DC717B}"/>
              </c:ext>
            </c:extLst>
          </c:dPt>
          <c:dPt>
            <c:idx val="15"/>
            <c:bubble3D val="0"/>
            <c:spPr>
              <a:solidFill>
                <a:srgbClr val="66006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0FD4-604D-9411-37CF70DC717B}"/>
              </c:ext>
            </c:extLst>
          </c:dPt>
          <c:dPt>
            <c:idx val="16"/>
            <c:bubble3D val="0"/>
            <c:spPr>
              <a:solidFill>
                <a:schemeClr val="bg1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0FD4-604D-9411-37CF70DC717B}"/>
              </c:ext>
            </c:extLst>
          </c:dPt>
          <c:dPt>
            <c:idx val="17"/>
            <c:bubble3D val="0"/>
            <c:spPr>
              <a:solidFill>
                <a:srgbClr val="FFFF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0FD4-604D-9411-37CF70DC717B}"/>
              </c:ext>
            </c:extLst>
          </c:dPt>
          <c:cat>
            <c:strRef>
              <c:f>Feuil1!$C$34:$S$34</c:f>
              <c:strCache>
                <c:ptCount val="17"/>
                <c:pt idx="0">
                  <c:v>Other Bacteria</c:v>
                </c:pt>
                <c:pt idx="1">
                  <c:v>Other Pseudomonadota</c:v>
                </c:pt>
                <c:pt idx="2">
                  <c:v>Other Alphaproteobacteria</c:v>
                </c:pt>
                <c:pt idx="3">
                  <c:v>RHAL1</c:v>
                </c:pt>
                <c:pt idx="4">
                  <c:v>Other Beijerinckiaceae</c:v>
                </c:pt>
                <c:pt idx="5">
                  <c:v>JAJXWB01</c:v>
                </c:pt>
                <c:pt idx="6">
                  <c:v>Other Methylocystaceae</c:v>
                </c:pt>
                <c:pt idx="7">
                  <c:v>Methylobacterium</c:v>
                </c:pt>
                <c:pt idx="8">
                  <c:v>Enterovirga</c:v>
                </c:pt>
                <c:pt idx="9">
                  <c:v>Other Methylobacteriaceae</c:v>
                </c:pt>
                <c:pt idx="10">
                  <c:v>Lichenibacterium</c:v>
                </c:pt>
                <c:pt idx="11">
                  <c:v>Lichenifustis</c:v>
                </c:pt>
                <c:pt idx="12">
                  <c:v>Lichenihabitans</c:v>
                </c:pt>
                <c:pt idx="13">
                  <c:v>Other Lichenihabitantaceae</c:v>
                </c:pt>
                <c:pt idx="14">
                  <c:v>Rhizobiaceae</c:v>
                </c:pt>
                <c:pt idx="15">
                  <c:v>Xanthobacteraceae</c:v>
                </c:pt>
                <c:pt idx="16">
                  <c:v>Other Hyphomicrobiales</c:v>
                </c:pt>
              </c:strCache>
            </c:strRef>
          </c:cat>
          <c:val>
            <c:numRef>
              <c:f>Feuil1!$C$44:$S$44</c:f>
              <c:numCache>
                <c:formatCode>0.0%</c:formatCode>
                <c:ptCount val="17"/>
                <c:pt idx="0">
                  <c:v>0.1289786219800152</c:v>
                </c:pt>
                <c:pt idx="1">
                  <c:v>8.4470928011456059E-2</c:v>
                </c:pt>
                <c:pt idx="2">
                  <c:v>0.38026606750586694</c:v>
                </c:pt>
                <c:pt idx="3">
                  <c:v>4.52161331162958E-5</c:v>
                </c:pt>
                <c:pt idx="4">
                  <c:v>1.5967808138174805E-2</c:v>
                </c:pt>
                <c:pt idx="7">
                  <c:v>9.7540895938654906E-2</c:v>
                </c:pt>
                <c:pt idx="8">
                  <c:v>1.04638137717924E-2</c:v>
                </c:pt>
                <c:pt idx="9">
                  <c:v>9.6450472827596945E-3</c:v>
                </c:pt>
                <c:pt idx="10">
                  <c:v>8.5148948004807407E-2</c:v>
                </c:pt>
                <c:pt idx="11">
                  <c:v>1.8292915307974101E-2</c:v>
                </c:pt>
                <c:pt idx="12">
                  <c:v>3.0297732389978E-4</c:v>
                </c:pt>
                <c:pt idx="13">
                  <c:v>5.7462062771772293E-4</c:v>
                </c:pt>
                <c:pt idx="14">
                  <c:v>0.13976985310488599</c:v>
                </c:pt>
                <c:pt idx="15">
                  <c:v>1.1369321069203501E-2</c:v>
                </c:pt>
                <c:pt idx="16">
                  <c:v>1.7162965799675411E-2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0FD4-604D-9411-37CF70DC7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14"/>
        <c:secondPieSize val="100"/>
        <c:serLines/>
      </c:ofPieChart>
    </c:plotArea>
    <c:plotVisOnly val="1"/>
    <c:dispBlanksAs val="gap"/>
    <c:showDLblsOverMax val="0"/>
  </c:chart>
  <c:txPr>
    <a:bodyPr/>
    <a:lstStyle/>
    <a:p>
      <a:pPr>
        <a:defRPr>
          <a:latin typeface="Arial"/>
          <a:cs typeface="Arial"/>
        </a:defRPr>
      </a:pPr>
      <a:endParaRPr lang="fr-FR"/>
    </a:p>
  </c:txPr>
  <c:printSettings>
    <c:headerFooter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  <c:txPr>
        <a:bodyPr/>
        <a:lstStyle/>
        <a:p>
          <a:pPr>
            <a:defRPr sz="1200" b="0"/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2256932557343"/>
          <c:y val="9.6692913385826695E-2"/>
          <c:w val="0.82326035604245096"/>
          <c:h val="0.90291159627773798"/>
        </c:manualLayout>
      </c:layout>
      <c:ofPieChart>
        <c:ofPieType val="pie"/>
        <c:varyColors val="1"/>
        <c:ser>
          <c:idx val="0"/>
          <c:order val="0"/>
          <c:tx>
            <c:strRef>
              <c:f>Feuil1!$A$45</c:f>
              <c:strCache>
                <c:ptCount val="1"/>
                <c:pt idx="0">
                  <c:v>Leaves Temperate North_America,Forest,PRJNA729807</c:v>
                </c:pt>
              </c:strCache>
            </c:strRef>
          </c:tx>
          <c:spPr>
            <a:ln w="6350" cmpd="sng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4E83-894B-B588-B13E53F804C1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4E83-894B-B588-B13E53F804C1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4E83-894B-B588-B13E53F804C1}"/>
              </c:ext>
            </c:extLst>
          </c:dPt>
          <c:dPt>
            <c:idx val="3"/>
            <c:bubble3D val="0"/>
            <c:spPr>
              <a:solidFill>
                <a:srgbClr val="0000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4E83-894B-B588-B13E53F804C1}"/>
              </c:ext>
            </c:extLst>
          </c:dPt>
          <c:dPt>
            <c:idx val="4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4E83-894B-B588-B13E53F804C1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4E83-894B-B588-B13E53F804C1}"/>
              </c:ext>
            </c:extLst>
          </c:dPt>
          <c:dPt>
            <c:idx val="6"/>
            <c:bubble3D val="0"/>
            <c:spPr>
              <a:solidFill>
                <a:srgbClr val="FFEDB3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4E83-894B-B588-B13E53F804C1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4E83-894B-B588-B13E53F804C1}"/>
              </c:ext>
            </c:extLst>
          </c:dPt>
          <c:dPt>
            <c:idx val="8"/>
            <c:bubble3D val="0"/>
            <c:spPr>
              <a:solidFill>
                <a:srgbClr val="F3AEA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4E83-894B-B588-B13E53F804C1}"/>
              </c:ext>
            </c:extLst>
          </c:dPt>
          <c:dPt>
            <c:idx val="9"/>
            <c:bubble3D val="0"/>
            <c:spPr>
              <a:solidFill>
                <a:srgbClr val="FFDDD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4E83-894B-B588-B13E53F804C1}"/>
              </c:ext>
            </c:extLst>
          </c:dPt>
          <c:dPt>
            <c:idx val="10"/>
            <c:bubble3D val="0"/>
            <c:spPr>
              <a:solidFill>
                <a:schemeClr val="accent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4E83-894B-B588-B13E53F804C1}"/>
              </c:ext>
            </c:extLst>
          </c:dPt>
          <c:dPt>
            <c:idx val="11"/>
            <c:bubble3D val="0"/>
            <c:spPr>
              <a:solidFill>
                <a:srgbClr val="1CD9B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4E83-894B-B588-B13E53F804C1}"/>
              </c:ext>
            </c:extLst>
          </c:dPt>
          <c:dPt>
            <c:idx val="12"/>
            <c:bubble3D val="0"/>
            <c:spPr>
              <a:solidFill>
                <a:schemeClr val="accent6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4E83-894B-B588-B13E53F804C1}"/>
              </c:ext>
            </c:extLst>
          </c:dPt>
          <c:dPt>
            <c:idx val="1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4E83-894B-B588-B13E53F804C1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4E83-894B-B588-B13E53F804C1}"/>
              </c:ext>
            </c:extLst>
          </c:dPt>
          <c:dPt>
            <c:idx val="15"/>
            <c:bubble3D val="0"/>
            <c:spPr>
              <a:solidFill>
                <a:srgbClr val="66006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4E83-894B-B588-B13E53F804C1}"/>
              </c:ext>
            </c:extLst>
          </c:dPt>
          <c:dPt>
            <c:idx val="16"/>
            <c:bubble3D val="0"/>
            <c:spPr>
              <a:solidFill>
                <a:schemeClr val="bg1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4E83-894B-B588-B13E53F804C1}"/>
              </c:ext>
            </c:extLst>
          </c:dPt>
          <c:dPt>
            <c:idx val="17"/>
            <c:bubble3D val="0"/>
            <c:spPr>
              <a:solidFill>
                <a:srgbClr val="FFFF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4E83-894B-B588-B13E53F804C1}"/>
              </c:ext>
            </c:extLst>
          </c:dPt>
          <c:cat>
            <c:strRef>
              <c:f>Feuil1!$C$34:$S$34</c:f>
              <c:strCache>
                <c:ptCount val="17"/>
                <c:pt idx="0">
                  <c:v>Other Bacteria</c:v>
                </c:pt>
                <c:pt idx="1">
                  <c:v>Other Pseudomonadota</c:v>
                </c:pt>
                <c:pt idx="2">
                  <c:v>Other Alphaproteobacteria</c:v>
                </c:pt>
                <c:pt idx="3">
                  <c:v>RHAL1</c:v>
                </c:pt>
                <c:pt idx="4">
                  <c:v>Other Beijerinckiaceae</c:v>
                </c:pt>
                <c:pt idx="5">
                  <c:v>JAJXWB01</c:v>
                </c:pt>
                <c:pt idx="6">
                  <c:v>Other Methylocystaceae</c:v>
                </c:pt>
                <c:pt idx="7">
                  <c:v>Methylobacterium</c:v>
                </c:pt>
                <c:pt idx="8">
                  <c:v>Enterovirga</c:v>
                </c:pt>
                <c:pt idx="9">
                  <c:v>Other Methylobacteriaceae</c:v>
                </c:pt>
                <c:pt idx="10">
                  <c:v>Lichenibacterium</c:v>
                </c:pt>
                <c:pt idx="11">
                  <c:v>Lichenifustis</c:v>
                </c:pt>
                <c:pt idx="12">
                  <c:v>Lichenihabitans</c:v>
                </c:pt>
                <c:pt idx="13">
                  <c:v>Other Lichenihabitantaceae</c:v>
                </c:pt>
                <c:pt idx="14">
                  <c:v>Rhizobiaceae</c:v>
                </c:pt>
                <c:pt idx="15">
                  <c:v>Xanthobacteraceae</c:v>
                </c:pt>
                <c:pt idx="16">
                  <c:v>Other Hyphomicrobiales</c:v>
                </c:pt>
              </c:strCache>
            </c:strRef>
          </c:cat>
          <c:val>
            <c:numRef>
              <c:f>Feuil1!$C$45:$S$45</c:f>
              <c:numCache>
                <c:formatCode>0.0%</c:formatCode>
                <c:ptCount val="17"/>
                <c:pt idx="0">
                  <c:v>0.67814492753623223</c:v>
                </c:pt>
                <c:pt idx="1">
                  <c:v>9.5376811594202998E-2</c:v>
                </c:pt>
                <c:pt idx="2">
                  <c:v>9.3862318840578995E-2</c:v>
                </c:pt>
                <c:pt idx="3">
                  <c:v>5.8695652173913E-4</c:v>
                </c:pt>
                <c:pt idx="4">
                  <c:v>1.6159420289855099E-3</c:v>
                </c:pt>
                <c:pt idx="7">
                  <c:v>1.3007246376811599E-2</c:v>
                </c:pt>
                <c:pt idx="8">
                  <c:v>4.6376811594202902E-4</c:v>
                </c:pt>
                <c:pt idx="9">
                  <c:v>1.884057971014725E-4</c:v>
                </c:pt>
                <c:pt idx="10">
                  <c:v>8.6623188405797094E-2</c:v>
                </c:pt>
                <c:pt idx="11">
                  <c:v>8.5724637681159396E-3</c:v>
                </c:pt>
                <c:pt idx="12">
                  <c:v>2.17391304347826E-5</c:v>
                </c:pt>
                <c:pt idx="13">
                  <c:v>9.5652173913049476E-4</c:v>
                </c:pt>
                <c:pt idx="14">
                  <c:v>5.8695652173913E-4</c:v>
                </c:pt>
                <c:pt idx="15">
                  <c:v>5.36231884057971E-4</c:v>
                </c:pt>
                <c:pt idx="16">
                  <c:v>1.9456521739130844E-2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4E83-894B-B588-B13E53F80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14"/>
        <c:secondPieSize val="100"/>
        <c:serLines/>
      </c:ofPieChart>
    </c:plotArea>
    <c:plotVisOnly val="1"/>
    <c:dispBlanksAs val="gap"/>
    <c:showDLblsOverMax val="0"/>
  </c:chart>
  <c:txPr>
    <a:bodyPr/>
    <a:lstStyle/>
    <a:p>
      <a:pPr>
        <a:defRPr>
          <a:latin typeface="Arial"/>
          <a:cs typeface="Arial"/>
        </a:defRPr>
      </a:pPr>
      <a:endParaRPr lang="fr-FR"/>
    </a:p>
  </c:txPr>
  <c:printSettings>
    <c:headerFooter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  <c:txPr>
        <a:bodyPr/>
        <a:lstStyle/>
        <a:p>
          <a:pPr>
            <a:defRPr sz="1200" b="0"/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2256932557343"/>
          <c:y val="9.6692913385826695E-2"/>
          <c:w val="0.82326035604245096"/>
          <c:h val="0.90291159627773798"/>
        </c:manualLayout>
      </c:layout>
      <c:ofPieChart>
        <c:ofPieType val="pie"/>
        <c:varyColors val="1"/>
        <c:ser>
          <c:idx val="0"/>
          <c:order val="0"/>
          <c:tx>
            <c:strRef>
              <c:f>Feuil1!$A$46</c:f>
              <c:strCache>
                <c:ptCount val="1"/>
                <c:pt idx="0">
                  <c:v>Leaves Tropical Asia,Forest,PRJNA1001021-5k</c:v>
                </c:pt>
              </c:strCache>
            </c:strRef>
          </c:tx>
          <c:spPr>
            <a:ln w="6350" cmpd="sng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EA70-A340-B78A-E8BF7BBCC244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A70-A340-B78A-E8BF7BBCC244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A70-A340-B78A-E8BF7BBCC244}"/>
              </c:ext>
            </c:extLst>
          </c:dPt>
          <c:dPt>
            <c:idx val="3"/>
            <c:bubble3D val="0"/>
            <c:spPr>
              <a:solidFill>
                <a:srgbClr val="0000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EA70-A340-B78A-E8BF7BBCC244}"/>
              </c:ext>
            </c:extLst>
          </c:dPt>
          <c:dPt>
            <c:idx val="4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EA70-A340-B78A-E8BF7BBCC244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EA70-A340-B78A-E8BF7BBCC244}"/>
              </c:ext>
            </c:extLst>
          </c:dPt>
          <c:dPt>
            <c:idx val="6"/>
            <c:bubble3D val="0"/>
            <c:spPr>
              <a:solidFill>
                <a:srgbClr val="FFEDB3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EA70-A340-B78A-E8BF7BBCC244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EA70-A340-B78A-E8BF7BBCC244}"/>
              </c:ext>
            </c:extLst>
          </c:dPt>
          <c:dPt>
            <c:idx val="8"/>
            <c:bubble3D val="0"/>
            <c:spPr>
              <a:solidFill>
                <a:srgbClr val="F3AEA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EA70-A340-B78A-E8BF7BBCC244}"/>
              </c:ext>
            </c:extLst>
          </c:dPt>
          <c:dPt>
            <c:idx val="9"/>
            <c:bubble3D val="0"/>
            <c:spPr>
              <a:solidFill>
                <a:srgbClr val="FFDDD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EA70-A340-B78A-E8BF7BBCC244}"/>
              </c:ext>
            </c:extLst>
          </c:dPt>
          <c:dPt>
            <c:idx val="10"/>
            <c:bubble3D val="0"/>
            <c:spPr>
              <a:solidFill>
                <a:schemeClr val="accent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EA70-A340-B78A-E8BF7BBCC244}"/>
              </c:ext>
            </c:extLst>
          </c:dPt>
          <c:dPt>
            <c:idx val="11"/>
            <c:bubble3D val="0"/>
            <c:spPr>
              <a:solidFill>
                <a:srgbClr val="1CD9B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EA70-A340-B78A-E8BF7BBCC244}"/>
              </c:ext>
            </c:extLst>
          </c:dPt>
          <c:dPt>
            <c:idx val="12"/>
            <c:bubble3D val="0"/>
            <c:spPr>
              <a:solidFill>
                <a:schemeClr val="accent6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EA70-A340-B78A-E8BF7BBCC244}"/>
              </c:ext>
            </c:extLst>
          </c:dPt>
          <c:dPt>
            <c:idx val="1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EA70-A340-B78A-E8BF7BBCC244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EA70-A340-B78A-E8BF7BBCC244}"/>
              </c:ext>
            </c:extLst>
          </c:dPt>
          <c:dPt>
            <c:idx val="15"/>
            <c:bubble3D val="0"/>
            <c:spPr>
              <a:solidFill>
                <a:srgbClr val="66006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EA70-A340-B78A-E8BF7BBCC244}"/>
              </c:ext>
            </c:extLst>
          </c:dPt>
          <c:dPt>
            <c:idx val="16"/>
            <c:bubble3D val="0"/>
            <c:spPr>
              <a:solidFill>
                <a:schemeClr val="bg1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EA70-A340-B78A-E8BF7BBCC244}"/>
              </c:ext>
            </c:extLst>
          </c:dPt>
          <c:dPt>
            <c:idx val="17"/>
            <c:bubble3D val="0"/>
            <c:spPr>
              <a:solidFill>
                <a:srgbClr val="FFFF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EA70-A340-B78A-E8BF7BBCC244}"/>
              </c:ext>
            </c:extLst>
          </c:dPt>
          <c:cat>
            <c:strRef>
              <c:f>Feuil1!$C$34:$S$34</c:f>
              <c:strCache>
                <c:ptCount val="17"/>
                <c:pt idx="0">
                  <c:v>Other Bacteria</c:v>
                </c:pt>
                <c:pt idx="1">
                  <c:v>Other Pseudomonadota</c:v>
                </c:pt>
                <c:pt idx="2">
                  <c:v>Other Alphaproteobacteria</c:v>
                </c:pt>
                <c:pt idx="3">
                  <c:v>RHAL1</c:v>
                </c:pt>
                <c:pt idx="4">
                  <c:v>Other Beijerinckiaceae</c:v>
                </c:pt>
                <c:pt idx="5">
                  <c:v>JAJXWB01</c:v>
                </c:pt>
                <c:pt idx="6">
                  <c:v>Other Methylocystaceae</c:v>
                </c:pt>
                <c:pt idx="7">
                  <c:v>Methylobacterium</c:v>
                </c:pt>
                <c:pt idx="8">
                  <c:v>Enterovirga</c:v>
                </c:pt>
                <c:pt idx="9">
                  <c:v>Other Methylobacteriaceae</c:v>
                </c:pt>
                <c:pt idx="10">
                  <c:v>Lichenibacterium</c:v>
                </c:pt>
                <c:pt idx="11">
                  <c:v>Lichenifustis</c:v>
                </c:pt>
                <c:pt idx="12">
                  <c:v>Lichenihabitans</c:v>
                </c:pt>
                <c:pt idx="13">
                  <c:v>Other Lichenihabitantaceae</c:v>
                </c:pt>
                <c:pt idx="14">
                  <c:v>Rhizobiaceae</c:v>
                </c:pt>
                <c:pt idx="15">
                  <c:v>Xanthobacteraceae</c:v>
                </c:pt>
                <c:pt idx="16">
                  <c:v>Other Hyphomicrobiales</c:v>
                </c:pt>
              </c:strCache>
            </c:strRef>
          </c:cat>
          <c:val>
            <c:numRef>
              <c:f>Feuil1!$C$46:$S$46</c:f>
              <c:numCache>
                <c:formatCode>0.0%</c:formatCode>
                <c:ptCount val="17"/>
                <c:pt idx="0">
                  <c:v>0.30128581409315264</c:v>
                </c:pt>
                <c:pt idx="1">
                  <c:v>0.14223721619145402</c:v>
                </c:pt>
                <c:pt idx="2">
                  <c:v>0.19334818008847898</c:v>
                </c:pt>
                <c:pt idx="3">
                  <c:v>2.0307862790890301E-2</c:v>
                </c:pt>
                <c:pt idx="4">
                  <c:v>2.9793668637771401E-2</c:v>
                </c:pt>
                <c:pt idx="7">
                  <c:v>5.8660863906360501E-2</c:v>
                </c:pt>
                <c:pt idx="8">
                  <c:v>1.1189813716097001E-3</c:v>
                </c:pt>
                <c:pt idx="9">
                  <c:v>3.7997849511205994E-3</c:v>
                </c:pt>
                <c:pt idx="10">
                  <c:v>0.157455949620808</c:v>
                </c:pt>
                <c:pt idx="11">
                  <c:v>3.6681057020582497E-2</c:v>
                </c:pt>
                <c:pt idx="12">
                  <c:v>5.4824561403508704E-7</c:v>
                </c:pt>
                <c:pt idx="13">
                  <c:v>2.5713017642104707E-3</c:v>
                </c:pt>
                <c:pt idx="14">
                  <c:v>2.9058585378320899E-3</c:v>
                </c:pt>
                <c:pt idx="15">
                  <c:v>1.48638235411952E-3</c:v>
                </c:pt>
                <c:pt idx="16">
                  <c:v>4.8346530425994849E-2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A70-A340-B78A-E8BF7BBCC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14"/>
        <c:secondPieSize val="100"/>
        <c:serLines/>
      </c:ofPieChart>
    </c:plotArea>
    <c:plotVisOnly val="1"/>
    <c:dispBlanksAs val="gap"/>
    <c:showDLblsOverMax val="0"/>
  </c:chart>
  <c:txPr>
    <a:bodyPr/>
    <a:lstStyle/>
    <a:p>
      <a:pPr>
        <a:defRPr>
          <a:latin typeface="Arial"/>
          <a:cs typeface="Arial"/>
        </a:defRPr>
      </a:pPr>
      <a:endParaRPr lang="fr-FR"/>
    </a:p>
  </c:txPr>
  <c:printSettings>
    <c:headerFooter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  <c:txPr>
        <a:bodyPr/>
        <a:lstStyle/>
        <a:p>
          <a:pPr>
            <a:defRPr sz="1200" b="0"/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2256932557343"/>
          <c:y val="9.6692913385826695E-2"/>
          <c:w val="0.82326035604245096"/>
          <c:h val="0.90291159627773798"/>
        </c:manualLayout>
      </c:layout>
      <c:ofPieChart>
        <c:ofPieType val="pie"/>
        <c:varyColors val="1"/>
        <c:ser>
          <c:idx val="0"/>
          <c:order val="0"/>
          <c:tx>
            <c:strRef>
              <c:f>Feuil1!$A$47</c:f>
              <c:strCache>
                <c:ptCount val="1"/>
                <c:pt idx="0">
                  <c:v>Leaves Tropical Europe,Kiwi,PRJNA665460</c:v>
                </c:pt>
              </c:strCache>
            </c:strRef>
          </c:tx>
          <c:spPr>
            <a:ln w="6350" cmpd="sng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9808-A947-BEC6-4989233835F4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808-A947-BEC6-4989233835F4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9808-A947-BEC6-4989233835F4}"/>
              </c:ext>
            </c:extLst>
          </c:dPt>
          <c:dPt>
            <c:idx val="3"/>
            <c:bubble3D val="0"/>
            <c:spPr>
              <a:solidFill>
                <a:srgbClr val="0000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9808-A947-BEC6-4989233835F4}"/>
              </c:ext>
            </c:extLst>
          </c:dPt>
          <c:dPt>
            <c:idx val="4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9808-A947-BEC6-4989233835F4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9808-A947-BEC6-4989233835F4}"/>
              </c:ext>
            </c:extLst>
          </c:dPt>
          <c:dPt>
            <c:idx val="6"/>
            <c:bubble3D val="0"/>
            <c:spPr>
              <a:solidFill>
                <a:srgbClr val="FFEDB3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9808-A947-BEC6-4989233835F4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9808-A947-BEC6-4989233835F4}"/>
              </c:ext>
            </c:extLst>
          </c:dPt>
          <c:dPt>
            <c:idx val="8"/>
            <c:bubble3D val="0"/>
            <c:spPr>
              <a:solidFill>
                <a:srgbClr val="F3AEA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9808-A947-BEC6-4989233835F4}"/>
              </c:ext>
            </c:extLst>
          </c:dPt>
          <c:dPt>
            <c:idx val="9"/>
            <c:bubble3D val="0"/>
            <c:spPr>
              <a:solidFill>
                <a:srgbClr val="FFDDD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9808-A947-BEC6-4989233835F4}"/>
              </c:ext>
            </c:extLst>
          </c:dPt>
          <c:dPt>
            <c:idx val="10"/>
            <c:bubble3D val="0"/>
            <c:spPr>
              <a:solidFill>
                <a:schemeClr val="accent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9808-A947-BEC6-4989233835F4}"/>
              </c:ext>
            </c:extLst>
          </c:dPt>
          <c:dPt>
            <c:idx val="11"/>
            <c:bubble3D val="0"/>
            <c:spPr>
              <a:solidFill>
                <a:srgbClr val="1CD9B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9808-A947-BEC6-4989233835F4}"/>
              </c:ext>
            </c:extLst>
          </c:dPt>
          <c:dPt>
            <c:idx val="12"/>
            <c:bubble3D val="0"/>
            <c:spPr>
              <a:solidFill>
                <a:schemeClr val="accent6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9808-A947-BEC6-4989233835F4}"/>
              </c:ext>
            </c:extLst>
          </c:dPt>
          <c:dPt>
            <c:idx val="1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9808-A947-BEC6-4989233835F4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9808-A947-BEC6-4989233835F4}"/>
              </c:ext>
            </c:extLst>
          </c:dPt>
          <c:dPt>
            <c:idx val="15"/>
            <c:bubble3D val="0"/>
            <c:spPr>
              <a:solidFill>
                <a:srgbClr val="66006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9808-A947-BEC6-4989233835F4}"/>
              </c:ext>
            </c:extLst>
          </c:dPt>
          <c:dPt>
            <c:idx val="16"/>
            <c:bubble3D val="0"/>
            <c:spPr>
              <a:solidFill>
                <a:schemeClr val="bg1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9808-A947-BEC6-4989233835F4}"/>
              </c:ext>
            </c:extLst>
          </c:dPt>
          <c:dPt>
            <c:idx val="17"/>
            <c:bubble3D val="0"/>
            <c:spPr>
              <a:solidFill>
                <a:srgbClr val="FFFF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9808-A947-BEC6-4989233835F4}"/>
              </c:ext>
            </c:extLst>
          </c:dPt>
          <c:cat>
            <c:strRef>
              <c:f>Feuil1!$C$34:$S$34</c:f>
              <c:strCache>
                <c:ptCount val="17"/>
                <c:pt idx="0">
                  <c:v>Other Bacteria</c:v>
                </c:pt>
                <c:pt idx="1">
                  <c:v>Other Pseudomonadota</c:v>
                </c:pt>
                <c:pt idx="2">
                  <c:v>Other Alphaproteobacteria</c:v>
                </c:pt>
                <c:pt idx="3">
                  <c:v>RHAL1</c:v>
                </c:pt>
                <c:pt idx="4">
                  <c:v>Other Beijerinckiaceae</c:v>
                </c:pt>
                <c:pt idx="5">
                  <c:v>JAJXWB01</c:v>
                </c:pt>
                <c:pt idx="6">
                  <c:v>Other Methylocystaceae</c:v>
                </c:pt>
                <c:pt idx="7">
                  <c:v>Methylobacterium</c:v>
                </c:pt>
                <c:pt idx="8">
                  <c:v>Enterovirga</c:v>
                </c:pt>
                <c:pt idx="9">
                  <c:v>Other Methylobacteriaceae</c:v>
                </c:pt>
                <c:pt idx="10">
                  <c:v>Lichenibacterium</c:v>
                </c:pt>
                <c:pt idx="11">
                  <c:v>Lichenifustis</c:v>
                </c:pt>
                <c:pt idx="12">
                  <c:v>Lichenihabitans</c:v>
                </c:pt>
                <c:pt idx="13">
                  <c:v>Other Lichenihabitantaceae</c:v>
                </c:pt>
                <c:pt idx="14">
                  <c:v>Rhizobiaceae</c:v>
                </c:pt>
                <c:pt idx="15">
                  <c:v>Xanthobacteraceae</c:v>
                </c:pt>
                <c:pt idx="16">
                  <c:v>Other Hyphomicrobiales</c:v>
                </c:pt>
              </c:strCache>
            </c:strRef>
          </c:cat>
          <c:val>
            <c:numRef>
              <c:f>Feuil1!$C$47:$S$47</c:f>
              <c:numCache>
                <c:formatCode>0.0%</c:formatCode>
                <c:ptCount val="17"/>
                <c:pt idx="0">
                  <c:v>0.58078500992513993</c:v>
                </c:pt>
                <c:pt idx="1">
                  <c:v>0.11102638211899701</c:v>
                </c:pt>
                <c:pt idx="2">
                  <c:v>0.16380409005682001</c:v>
                </c:pt>
                <c:pt idx="3">
                  <c:v>4.1666666666666598E-5</c:v>
                </c:pt>
                <c:pt idx="4">
                  <c:v>8.3361120373457408E-5</c:v>
                </c:pt>
                <c:pt idx="7">
                  <c:v>0.110062993778496</c:v>
                </c:pt>
                <c:pt idx="8">
                  <c:v>0</c:v>
                </c:pt>
                <c:pt idx="9">
                  <c:v>6.5546155669980039E-3</c:v>
                </c:pt>
                <c:pt idx="10">
                  <c:v>2.0121336648787999E-2</c:v>
                </c:pt>
                <c:pt idx="11">
                  <c:v>3.34226428351606E-4</c:v>
                </c:pt>
                <c:pt idx="12">
                  <c:v>0</c:v>
                </c:pt>
                <c:pt idx="13">
                  <c:v>0</c:v>
                </c:pt>
                <c:pt idx="14">
                  <c:v>5.5585550431941797E-3</c:v>
                </c:pt>
                <c:pt idx="15">
                  <c:v>4.1876046901172497E-5</c:v>
                </c:pt>
                <c:pt idx="16">
                  <c:v>1.5858865992738891E-3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9808-A947-BEC6-498923383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14"/>
        <c:secondPieSize val="100"/>
        <c:serLines/>
      </c:ofPieChart>
    </c:plotArea>
    <c:plotVisOnly val="1"/>
    <c:dispBlanksAs val="gap"/>
    <c:showDLblsOverMax val="0"/>
  </c:chart>
  <c:txPr>
    <a:bodyPr/>
    <a:lstStyle/>
    <a:p>
      <a:pPr>
        <a:defRPr>
          <a:latin typeface="Arial"/>
          <a:cs typeface="Arial"/>
        </a:defRPr>
      </a:pPr>
      <a:endParaRPr lang="fr-FR"/>
    </a:p>
  </c:txPr>
  <c:printSettings>
    <c:headerFooter/>
    <c:pageMargins b="1" l="0.75" r="0.7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  <c:txPr>
        <a:bodyPr/>
        <a:lstStyle/>
        <a:p>
          <a:pPr>
            <a:defRPr sz="1200" b="0"/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2256932557343"/>
          <c:y val="9.6692913385826695E-2"/>
          <c:w val="0.82326035604245096"/>
          <c:h val="0.90291159627773798"/>
        </c:manualLayout>
      </c:layout>
      <c:ofPieChart>
        <c:ofPieType val="pie"/>
        <c:varyColors val="1"/>
        <c:ser>
          <c:idx val="0"/>
          <c:order val="0"/>
          <c:tx>
            <c:strRef>
              <c:f>Feuil1!$A$48</c:f>
              <c:strCache>
                <c:ptCount val="1"/>
                <c:pt idx="0">
                  <c:v>Lichen Temperate Europe,Bark,PRJNA290145</c:v>
                </c:pt>
              </c:strCache>
            </c:strRef>
          </c:tx>
          <c:spPr>
            <a:ln w="6350" cmpd="sng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E5F2-694E-9C1C-6E1F9DD5F1BD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5F2-694E-9C1C-6E1F9DD5F1BD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5F2-694E-9C1C-6E1F9DD5F1BD}"/>
              </c:ext>
            </c:extLst>
          </c:dPt>
          <c:dPt>
            <c:idx val="3"/>
            <c:bubble3D val="0"/>
            <c:spPr>
              <a:solidFill>
                <a:srgbClr val="0000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E5F2-694E-9C1C-6E1F9DD5F1BD}"/>
              </c:ext>
            </c:extLst>
          </c:dPt>
          <c:dPt>
            <c:idx val="4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E5F2-694E-9C1C-6E1F9DD5F1BD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E5F2-694E-9C1C-6E1F9DD5F1BD}"/>
              </c:ext>
            </c:extLst>
          </c:dPt>
          <c:dPt>
            <c:idx val="6"/>
            <c:bubble3D val="0"/>
            <c:spPr>
              <a:solidFill>
                <a:srgbClr val="FFEDB3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E5F2-694E-9C1C-6E1F9DD5F1BD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E5F2-694E-9C1C-6E1F9DD5F1BD}"/>
              </c:ext>
            </c:extLst>
          </c:dPt>
          <c:dPt>
            <c:idx val="8"/>
            <c:bubble3D val="0"/>
            <c:spPr>
              <a:solidFill>
                <a:srgbClr val="F3AEA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E5F2-694E-9C1C-6E1F9DD5F1BD}"/>
              </c:ext>
            </c:extLst>
          </c:dPt>
          <c:dPt>
            <c:idx val="9"/>
            <c:bubble3D val="0"/>
            <c:spPr>
              <a:solidFill>
                <a:srgbClr val="FFDDD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E5F2-694E-9C1C-6E1F9DD5F1BD}"/>
              </c:ext>
            </c:extLst>
          </c:dPt>
          <c:dPt>
            <c:idx val="10"/>
            <c:bubble3D val="0"/>
            <c:spPr>
              <a:solidFill>
                <a:schemeClr val="accent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E5F2-694E-9C1C-6E1F9DD5F1BD}"/>
              </c:ext>
            </c:extLst>
          </c:dPt>
          <c:dPt>
            <c:idx val="11"/>
            <c:bubble3D val="0"/>
            <c:spPr>
              <a:solidFill>
                <a:srgbClr val="1CD9B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E5F2-694E-9C1C-6E1F9DD5F1BD}"/>
              </c:ext>
            </c:extLst>
          </c:dPt>
          <c:dPt>
            <c:idx val="12"/>
            <c:bubble3D val="0"/>
            <c:spPr>
              <a:solidFill>
                <a:schemeClr val="accent6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E5F2-694E-9C1C-6E1F9DD5F1BD}"/>
              </c:ext>
            </c:extLst>
          </c:dPt>
          <c:dPt>
            <c:idx val="1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E5F2-694E-9C1C-6E1F9DD5F1BD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E5F2-694E-9C1C-6E1F9DD5F1BD}"/>
              </c:ext>
            </c:extLst>
          </c:dPt>
          <c:dPt>
            <c:idx val="15"/>
            <c:bubble3D val="0"/>
            <c:spPr>
              <a:solidFill>
                <a:srgbClr val="66006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E5F2-694E-9C1C-6E1F9DD5F1BD}"/>
              </c:ext>
            </c:extLst>
          </c:dPt>
          <c:dPt>
            <c:idx val="16"/>
            <c:bubble3D val="0"/>
            <c:spPr>
              <a:solidFill>
                <a:schemeClr val="bg1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E5F2-694E-9C1C-6E1F9DD5F1BD}"/>
              </c:ext>
            </c:extLst>
          </c:dPt>
          <c:dPt>
            <c:idx val="17"/>
            <c:bubble3D val="0"/>
            <c:spPr>
              <a:solidFill>
                <a:srgbClr val="FFFF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E5F2-694E-9C1C-6E1F9DD5F1BD}"/>
              </c:ext>
            </c:extLst>
          </c:dPt>
          <c:cat>
            <c:strRef>
              <c:f>Feuil1!$C$34:$S$34</c:f>
              <c:strCache>
                <c:ptCount val="17"/>
                <c:pt idx="0">
                  <c:v>Other Bacteria</c:v>
                </c:pt>
                <c:pt idx="1">
                  <c:v>Other Pseudomonadota</c:v>
                </c:pt>
                <c:pt idx="2">
                  <c:v>Other Alphaproteobacteria</c:v>
                </c:pt>
                <c:pt idx="3">
                  <c:v>RHAL1</c:v>
                </c:pt>
                <c:pt idx="4">
                  <c:v>Other Beijerinckiaceae</c:v>
                </c:pt>
                <c:pt idx="5">
                  <c:v>JAJXWB01</c:v>
                </c:pt>
                <c:pt idx="6">
                  <c:v>Other Methylocystaceae</c:v>
                </c:pt>
                <c:pt idx="7">
                  <c:v>Methylobacterium</c:v>
                </c:pt>
                <c:pt idx="8">
                  <c:v>Enterovirga</c:v>
                </c:pt>
                <c:pt idx="9">
                  <c:v>Other Methylobacteriaceae</c:v>
                </c:pt>
                <c:pt idx="10">
                  <c:v>Lichenibacterium</c:v>
                </c:pt>
                <c:pt idx="11">
                  <c:v>Lichenifustis</c:v>
                </c:pt>
                <c:pt idx="12">
                  <c:v>Lichenihabitans</c:v>
                </c:pt>
                <c:pt idx="13">
                  <c:v>Other Lichenihabitantaceae</c:v>
                </c:pt>
                <c:pt idx="14">
                  <c:v>Rhizobiaceae</c:v>
                </c:pt>
                <c:pt idx="15">
                  <c:v>Xanthobacteraceae</c:v>
                </c:pt>
                <c:pt idx="16">
                  <c:v>Other Hyphomicrobiales</c:v>
                </c:pt>
              </c:strCache>
            </c:strRef>
          </c:cat>
          <c:val>
            <c:numRef>
              <c:f>Feuil1!$C$48:$S$48</c:f>
              <c:numCache>
                <c:formatCode>0.0%</c:formatCode>
                <c:ptCount val="17"/>
                <c:pt idx="0">
                  <c:v>0.6174601654045182</c:v>
                </c:pt>
                <c:pt idx="1">
                  <c:v>3.9205932077224004E-2</c:v>
                </c:pt>
                <c:pt idx="2">
                  <c:v>0.25955248440199441</c:v>
                </c:pt>
                <c:pt idx="3">
                  <c:v>0</c:v>
                </c:pt>
                <c:pt idx="4">
                  <c:v>5.9317607635821796E-3</c:v>
                </c:pt>
                <c:pt idx="7">
                  <c:v>7.0514958528803901E-3</c:v>
                </c:pt>
                <c:pt idx="8">
                  <c:v>4.8805870276189198E-3</c:v>
                </c:pt>
                <c:pt idx="9">
                  <c:v>2.7350712345709099E-4</c:v>
                </c:pt>
                <c:pt idx="10">
                  <c:v>2.9009573259641298E-2</c:v>
                </c:pt>
                <c:pt idx="11">
                  <c:v>1.19920630524706E-2</c:v>
                </c:pt>
                <c:pt idx="12">
                  <c:v>2.1112365470604901E-3</c:v>
                </c:pt>
                <c:pt idx="13">
                  <c:v>1.1111168110167075E-3</c:v>
                </c:pt>
                <c:pt idx="14">
                  <c:v>1.8975214226381999E-3</c:v>
                </c:pt>
                <c:pt idx="15">
                  <c:v>3.1284844996322301E-3</c:v>
                </c:pt>
                <c:pt idx="16">
                  <c:v>1.6394071756264492E-2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5F2-694E-9C1C-6E1F9DD5F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14"/>
        <c:secondPieSize val="100"/>
        <c:serLines/>
      </c:ofPieChart>
    </c:plotArea>
    <c:plotVisOnly val="1"/>
    <c:dispBlanksAs val="gap"/>
    <c:showDLblsOverMax val="0"/>
  </c:chart>
  <c:txPr>
    <a:bodyPr/>
    <a:lstStyle/>
    <a:p>
      <a:pPr>
        <a:defRPr>
          <a:latin typeface="Arial"/>
          <a:cs typeface="Arial"/>
        </a:defRPr>
      </a:pPr>
      <a:endParaRPr lang="fr-FR"/>
    </a:p>
  </c:txPr>
  <c:printSettings>
    <c:headerFooter/>
    <c:pageMargins b="1" l="0.75" r="0.7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  <c:txPr>
        <a:bodyPr/>
        <a:lstStyle/>
        <a:p>
          <a:pPr>
            <a:defRPr sz="1200" b="0"/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2256932557343"/>
          <c:y val="9.6692913385826695E-2"/>
          <c:w val="0.82326035604245096"/>
          <c:h val="0.90291159627773798"/>
        </c:manualLayout>
      </c:layout>
      <c:ofPieChart>
        <c:ofPieType val="pie"/>
        <c:varyColors val="1"/>
        <c:ser>
          <c:idx val="0"/>
          <c:order val="0"/>
          <c:tx>
            <c:strRef>
              <c:f>Feuil1!$A$49</c:f>
              <c:strCache>
                <c:ptCount val="1"/>
                <c:pt idx="0">
                  <c:v>Lichen Tropical South_America,Lichen,PRJNA558995</c:v>
                </c:pt>
              </c:strCache>
            </c:strRef>
          </c:tx>
          <c:spPr>
            <a:ln w="6350" cmpd="sng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AD4-D243-9AB8-F182C24AA03B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AD4-D243-9AB8-F182C24AA03B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DAD4-D243-9AB8-F182C24AA03B}"/>
              </c:ext>
            </c:extLst>
          </c:dPt>
          <c:dPt>
            <c:idx val="3"/>
            <c:bubble3D val="0"/>
            <c:spPr>
              <a:solidFill>
                <a:srgbClr val="0000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DAD4-D243-9AB8-F182C24AA03B}"/>
              </c:ext>
            </c:extLst>
          </c:dPt>
          <c:dPt>
            <c:idx val="4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DAD4-D243-9AB8-F182C24AA03B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DAD4-D243-9AB8-F182C24AA03B}"/>
              </c:ext>
            </c:extLst>
          </c:dPt>
          <c:dPt>
            <c:idx val="6"/>
            <c:bubble3D val="0"/>
            <c:spPr>
              <a:solidFill>
                <a:srgbClr val="FFEDB3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DAD4-D243-9AB8-F182C24AA03B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DAD4-D243-9AB8-F182C24AA03B}"/>
              </c:ext>
            </c:extLst>
          </c:dPt>
          <c:dPt>
            <c:idx val="8"/>
            <c:bubble3D val="0"/>
            <c:spPr>
              <a:solidFill>
                <a:srgbClr val="F3AEA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DAD4-D243-9AB8-F182C24AA03B}"/>
              </c:ext>
            </c:extLst>
          </c:dPt>
          <c:dPt>
            <c:idx val="9"/>
            <c:bubble3D val="0"/>
            <c:spPr>
              <a:solidFill>
                <a:srgbClr val="FFDDD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DAD4-D243-9AB8-F182C24AA03B}"/>
              </c:ext>
            </c:extLst>
          </c:dPt>
          <c:dPt>
            <c:idx val="10"/>
            <c:bubble3D val="0"/>
            <c:spPr>
              <a:solidFill>
                <a:schemeClr val="accent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DAD4-D243-9AB8-F182C24AA03B}"/>
              </c:ext>
            </c:extLst>
          </c:dPt>
          <c:dPt>
            <c:idx val="11"/>
            <c:bubble3D val="0"/>
            <c:spPr>
              <a:solidFill>
                <a:srgbClr val="1CD9B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DAD4-D243-9AB8-F182C24AA03B}"/>
              </c:ext>
            </c:extLst>
          </c:dPt>
          <c:dPt>
            <c:idx val="12"/>
            <c:bubble3D val="0"/>
            <c:spPr>
              <a:solidFill>
                <a:schemeClr val="accent6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DAD4-D243-9AB8-F182C24AA03B}"/>
              </c:ext>
            </c:extLst>
          </c:dPt>
          <c:dPt>
            <c:idx val="1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DAD4-D243-9AB8-F182C24AA03B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DAD4-D243-9AB8-F182C24AA03B}"/>
              </c:ext>
            </c:extLst>
          </c:dPt>
          <c:dPt>
            <c:idx val="15"/>
            <c:bubble3D val="0"/>
            <c:spPr>
              <a:solidFill>
                <a:srgbClr val="66006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DAD4-D243-9AB8-F182C24AA03B}"/>
              </c:ext>
            </c:extLst>
          </c:dPt>
          <c:dPt>
            <c:idx val="16"/>
            <c:bubble3D val="0"/>
            <c:spPr>
              <a:solidFill>
                <a:schemeClr val="bg1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DAD4-D243-9AB8-F182C24AA03B}"/>
              </c:ext>
            </c:extLst>
          </c:dPt>
          <c:dPt>
            <c:idx val="17"/>
            <c:bubble3D val="0"/>
            <c:spPr>
              <a:solidFill>
                <a:srgbClr val="FFFF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DAD4-D243-9AB8-F182C24AA03B}"/>
              </c:ext>
            </c:extLst>
          </c:dPt>
          <c:cat>
            <c:strRef>
              <c:f>Feuil1!$C$34:$S$34</c:f>
              <c:strCache>
                <c:ptCount val="17"/>
                <c:pt idx="0">
                  <c:v>Other Bacteria</c:v>
                </c:pt>
                <c:pt idx="1">
                  <c:v>Other Pseudomonadota</c:v>
                </c:pt>
                <c:pt idx="2">
                  <c:v>Other Alphaproteobacteria</c:v>
                </c:pt>
                <c:pt idx="3">
                  <c:v>RHAL1</c:v>
                </c:pt>
                <c:pt idx="4">
                  <c:v>Other Beijerinckiaceae</c:v>
                </c:pt>
                <c:pt idx="5">
                  <c:v>JAJXWB01</c:v>
                </c:pt>
                <c:pt idx="6">
                  <c:v>Other Methylocystaceae</c:v>
                </c:pt>
                <c:pt idx="7">
                  <c:v>Methylobacterium</c:v>
                </c:pt>
                <c:pt idx="8">
                  <c:v>Enterovirga</c:v>
                </c:pt>
                <c:pt idx="9">
                  <c:v>Other Methylobacteriaceae</c:v>
                </c:pt>
                <c:pt idx="10">
                  <c:v>Lichenibacterium</c:v>
                </c:pt>
                <c:pt idx="11">
                  <c:v>Lichenifustis</c:v>
                </c:pt>
                <c:pt idx="12">
                  <c:v>Lichenihabitans</c:v>
                </c:pt>
                <c:pt idx="13">
                  <c:v>Other Lichenihabitantaceae</c:v>
                </c:pt>
                <c:pt idx="14">
                  <c:v>Rhizobiaceae</c:v>
                </c:pt>
                <c:pt idx="15">
                  <c:v>Xanthobacteraceae</c:v>
                </c:pt>
                <c:pt idx="16">
                  <c:v>Other Hyphomicrobiales</c:v>
                </c:pt>
              </c:strCache>
            </c:strRef>
          </c:cat>
          <c:val>
            <c:numRef>
              <c:f>Feuil1!$C$49:$S$49</c:f>
              <c:numCache>
                <c:formatCode>0.0%</c:formatCode>
                <c:ptCount val="17"/>
                <c:pt idx="0">
                  <c:v>0.5189858156028373</c:v>
                </c:pt>
                <c:pt idx="1">
                  <c:v>0.25190780141843999</c:v>
                </c:pt>
                <c:pt idx="2">
                  <c:v>0.15119858156028329</c:v>
                </c:pt>
                <c:pt idx="3">
                  <c:v>4.2907801418439698E-3</c:v>
                </c:pt>
                <c:pt idx="4">
                  <c:v>2.3439716312056727E-2</c:v>
                </c:pt>
                <c:pt idx="7">
                  <c:v>4.8510638297872303E-3</c:v>
                </c:pt>
                <c:pt idx="8">
                  <c:v>1.14184397163121E-3</c:v>
                </c:pt>
                <c:pt idx="9">
                  <c:v>6.3829787234038864E-5</c:v>
                </c:pt>
                <c:pt idx="10">
                  <c:v>1.6482269503546101E-2</c:v>
                </c:pt>
                <c:pt idx="11">
                  <c:v>2.8297872340425599E-3</c:v>
                </c:pt>
                <c:pt idx="12">
                  <c:v>7.2765957446808598E-3</c:v>
                </c:pt>
                <c:pt idx="13">
                  <c:v>1.4751773049644784E-3</c:v>
                </c:pt>
                <c:pt idx="14">
                  <c:v>1.1560283687943301E-3</c:v>
                </c:pt>
                <c:pt idx="15">
                  <c:v>4.2695035460992899E-3</c:v>
                </c:pt>
                <c:pt idx="16">
                  <c:v>1.0631205673758914E-2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AD4-D243-9AB8-F182C24AA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14"/>
        <c:secondPieSize val="100"/>
        <c:serLines/>
      </c:ofPieChart>
    </c:plotArea>
    <c:plotVisOnly val="1"/>
    <c:dispBlanksAs val="gap"/>
    <c:showDLblsOverMax val="0"/>
  </c:chart>
  <c:txPr>
    <a:bodyPr/>
    <a:lstStyle/>
    <a:p>
      <a:pPr>
        <a:defRPr>
          <a:latin typeface="Arial"/>
          <a:cs typeface="Arial"/>
        </a:defRPr>
      </a:pPr>
      <a:endParaRPr lang="fr-FR"/>
    </a:p>
  </c:txPr>
  <c:printSettings>
    <c:headerFooter/>
    <c:pageMargins b="1" l="0.75" r="0.75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  <c:txPr>
        <a:bodyPr/>
        <a:lstStyle/>
        <a:p>
          <a:pPr>
            <a:defRPr sz="1200" b="0"/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2256932557343"/>
          <c:y val="9.6692913385826695E-2"/>
          <c:w val="0.82326035604245096"/>
          <c:h val="0.90291159627773798"/>
        </c:manualLayout>
      </c:layout>
      <c:ofPieChart>
        <c:ofPieType val="pie"/>
        <c:varyColors val="1"/>
        <c:ser>
          <c:idx val="0"/>
          <c:order val="0"/>
          <c:tx>
            <c:strRef>
              <c:f>Feuil1!$A$50</c:f>
              <c:strCache>
                <c:ptCount val="1"/>
                <c:pt idx="0">
                  <c:v>Moss Temperate Europe,Bark,PRJNA290145</c:v>
                </c:pt>
              </c:strCache>
            </c:strRef>
          </c:tx>
          <c:spPr>
            <a:ln w="6350" cmpd="sng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71C3-684C-805E-93D28714BB1A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71C3-684C-805E-93D28714BB1A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71C3-684C-805E-93D28714BB1A}"/>
              </c:ext>
            </c:extLst>
          </c:dPt>
          <c:dPt>
            <c:idx val="3"/>
            <c:bubble3D val="0"/>
            <c:spPr>
              <a:solidFill>
                <a:srgbClr val="0000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71C3-684C-805E-93D28714BB1A}"/>
              </c:ext>
            </c:extLst>
          </c:dPt>
          <c:dPt>
            <c:idx val="4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71C3-684C-805E-93D28714BB1A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71C3-684C-805E-93D28714BB1A}"/>
              </c:ext>
            </c:extLst>
          </c:dPt>
          <c:dPt>
            <c:idx val="6"/>
            <c:bubble3D val="0"/>
            <c:spPr>
              <a:solidFill>
                <a:srgbClr val="FFEDB3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71C3-684C-805E-93D28714BB1A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71C3-684C-805E-93D28714BB1A}"/>
              </c:ext>
            </c:extLst>
          </c:dPt>
          <c:dPt>
            <c:idx val="8"/>
            <c:bubble3D val="0"/>
            <c:spPr>
              <a:solidFill>
                <a:srgbClr val="F3AEA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71C3-684C-805E-93D28714BB1A}"/>
              </c:ext>
            </c:extLst>
          </c:dPt>
          <c:dPt>
            <c:idx val="9"/>
            <c:bubble3D val="0"/>
            <c:spPr>
              <a:solidFill>
                <a:srgbClr val="FFDDD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71C3-684C-805E-93D28714BB1A}"/>
              </c:ext>
            </c:extLst>
          </c:dPt>
          <c:dPt>
            <c:idx val="10"/>
            <c:bubble3D val="0"/>
            <c:spPr>
              <a:solidFill>
                <a:schemeClr val="accent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71C3-684C-805E-93D28714BB1A}"/>
              </c:ext>
            </c:extLst>
          </c:dPt>
          <c:dPt>
            <c:idx val="11"/>
            <c:bubble3D val="0"/>
            <c:spPr>
              <a:solidFill>
                <a:srgbClr val="1CD9B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71C3-684C-805E-93D28714BB1A}"/>
              </c:ext>
            </c:extLst>
          </c:dPt>
          <c:dPt>
            <c:idx val="12"/>
            <c:bubble3D val="0"/>
            <c:spPr>
              <a:solidFill>
                <a:schemeClr val="accent6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71C3-684C-805E-93D28714BB1A}"/>
              </c:ext>
            </c:extLst>
          </c:dPt>
          <c:dPt>
            <c:idx val="1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71C3-684C-805E-93D28714BB1A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71C3-684C-805E-93D28714BB1A}"/>
              </c:ext>
            </c:extLst>
          </c:dPt>
          <c:dPt>
            <c:idx val="15"/>
            <c:bubble3D val="0"/>
            <c:spPr>
              <a:solidFill>
                <a:srgbClr val="66006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71C3-684C-805E-93D28714BB1A}"/>
              </c:ext>
            </c:extLst>
          </c:dPt>
          <c:dPt>
            <c:idx val="16"/>
            <c:bubble3D val="0"/>
            <c:spPr>
              <a:solidFill>
                <a:schemeClr val="bg1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71C3-684C-805E-93D28714BB1A}"/>
              </c:ext>
            </c:extLst>
          </c:dPt>
          <c:dPt>
            <c:idx val="17"/>
            <c:bubble3D val="0"/>
            <c:spPr>
              <a:solidFill>
                <a:srgbClr val="FFFF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71C3-684C-805E-93D28714BB1A}"/>
              </c:ext>
            </c:extLst>
          </c:dPt>
          <c:cat>
            <c:strRef>
              <c:f>Feuil1!$C$34:$S$34</c:f>
              <c:strCache>
                <c:ptCount val="17"/>
                <c:pt idx="0">
                  <c:v>Other Bacteria</c:v>
                </c:pt>
                <c:pt idx="1">
                  <c:v>Other Pseudomonadota</c:v>
                </c:pt>
                <c:pt idx="2">
                  <c:v>Other Alphaproteobacteria</c:v>
                </c:pt>
                <c:pt idx="3">
                  <c:v>RHAL1</c:v>
                </c:pt>
                <c:pt idx="4">
                  <c:v>Other Beijerinckiaceae</c:v>
                </c:pt>
                <c:pt idx="5">
                  <c:v>JAJXWB01</c:v>
                </c:pt>
                <c:pt idx="6">
                  <c:v>Other Methylocystaceae</c:v>
                </c:pt>
                <c:pt idx="7">
                  <c:v>Methylobacterium</c:v>
                </c:pt>
                <c:pt idx="8">
                  <c:v>Enterovirga</c:v>
                </c:pt>
                <c:pt idx="9">
                  <c:v>Other Methylobacteriaceae</c:v>
                </c:pt>
                <c:pt idx="10">
                  <c:v>Lichenibacterium</c:v>
                </c:pt>
                <c:pt idx="11">
                  <c:v>Lichenifustis</c:v>
                </c:pt>
                <c:pt idx="12">
                  <c:v>Lichenihabitans</c:v>
                </c:pt>
                <c:pt idx="13">
                  <c:v>Other Lichenihabitantaceae</c:v>
                </c:pt>
                <c:pt idx="14">
                  <c:v>Rhizobiaceae</c:v>
                </c:pt>
                <c:pt idx="15">
                  <c:v>Xanthobacteraceae</c:v>
                </c:pt>
                <c:pt idx="16">
                  <c:v>Other Hyphomicrobiales</c:v>
                </c:pt>
              </c:strCache>
            </c:strRef>
          </c:cat>
          <c:val>
            <c:numRef>
              <c:f>Feuil1!$C$50:$S$50</c:f>
              <c:numCache>
                <c:formatCode>0.0%</c:formatCode>
                <c:ptCount val="17"/>
                <c:pt idx="0">
                  <c:v>0.76845027661650334</c:v>
                </c:pt>
                <c:pt idx="1">
                  <c:v>8.3531381237849006E-2</c:v>
                </c:pt>
                <c:pt idx="2">
                  <c:v>0.12451139770120359</c:v>
                </c:pt>
                <c:pt idx="3">
                  <c:v>0</c:v>
                </c:pt>
                <c:pt idx="4">
                  <c:v>2.0763888888888902E-3</c:v>
                </c:pt>
                <c:pt idx="7">
                  <c:v>8.7500000000000002E-4</c:v>
                </c:pt>
                <c:pt idx="8">
                  <c:v>3.40277777777778E-4</c:v>
                </c:pt>
                <c:pt idx="9">
                  <c:v>4.8611111111111901E-5</c:v>
                </c:pt>
                <c:pt idx="10">
                  <c:v>2.5694444444444397E-4</c:v>
                </c:pt>
                <c:pt idx="11">
                  <c:v>3.1944444444444399E-3</c:v>
                </c:pt>
                <c:pt idx="12">
                  <c:v>4.58333333333333E-4</c:v>
                </c:pt>
                <c:pt idx="13">
                  <c:v>8.3333333333334304E-4</c:v>
                </c:pt>
                <c:pt idx="14">
                  <c:v>1.5416666666666699E-3</c:v>
                </c:pt>
                <c:pt idx="15">
                  <c:v>3.9236111111111104E-3</c:v>
                </c:pt>
                <c:pt idx="16">
                  <c:v>9.9583333333332791E-3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71C3-684C-805E-93D28714B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14"/>
        <c:secondPieSize val="100"/>
        <c:serLines/>
      </c:ofPieChart>
    </c:plotArea>
    <c:plotVisOnly val="1"/>
    <c:dispBlanksAs val="gap"/>
    <c:showDLblsOverMax val="0"/>
  </c:chart>
  <c:txPr>
    <a:bodyPr/>
    <a:lstStyle/>
    <a:p>
      <a:pPr>
        <a:defRPr>
          <a:latin typeface="Arial"/>
          <a:cs typeface="Arial"/>
        </a:defRPr>
      </a:pPr>
      <a:endParaRPr lang="fr-FR"/>
    </a:p>
  </c:txPr>
  <c:printSettings>
    <c:headerFooter/>
    <c:pageMargins b="1" l="0.75" r="0.75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  <c:txPr>
        <a:bodyPr/>
        <a:lstStyle/>
        <a:p>
          <a:pPr>
            <a:defRPr sz="1200" b="0"/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2256932557343"/>
          <c:y val="9.6692913385826695E-2"/>
          <c:w val="0.82326035604245096"/>
          <c:h val="0.90291159627773798"/>
        </c:manualLayout>
      </c:layout>
      <c:ofPieChart>
        <c:ofPieType val="pie"/>
        <c:varyColors val="1"/>
        <c:ser>
          <c:idx val="0"/>
          <c:order val="0"/>
          <c:tx>
            <c:strRef>
              <c:f>Feuil1!$A$51</c:f>
              <c:strCache>
                <c:ptCount val="1"/>
                <c:pt idx="0">
                  <c:v>Moss Tundra Europe,Moss,PRJEB40635</c:v>
                </c:pt>
              </c:strCache>
            </c:strRef>
          </c:tx>
          <c:spPr>
            <a:ln w="6350" cmpd="sng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56F2-494E-86DC-DACDE89C1EEF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6F2-494E-86DC-DACDE89C1EEF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6F2-494E-86DC-DACDE89C1EEF}"/>
              </c:ext>
            </c:extLst>
          </c:dPt>
          <c:dPt>
            <c:idx val="3"/>
            <c:bubble3D val="0"/>
            <c:spPr>
              <a:solidFill>
                <a:srgbClr val="0000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56F2-494E-86DC-DACDE89C1EEF}"/>
              </c:ext>
            </c:extLst>
          </c:dPt>
          <c:dPt>
            <c:idx val="4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56F2-494E-86DC-DACDE89C1EEF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56F2-494E-86DC-DACDE89C1EEF}"/>
              </c:ext>
            </c:extLst>
          </c:dPt>
          <c:dPt>
            <c:idx val="6"/>
            <c:bubble3D val="0"/>
            <c:spPr>
              <a:solidFill>
                <a:srgbClr val="FFEDB3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56F2-494E-86DC-DACDE89C1EEF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56F2-494E-86DC-DACDE89C1EEF}"/>
              </c:ext>
            </c:extLst>
          </c:dPt>
          <c:dPt>
            <c:idx val="8"/>
            <c:bubble3D val="0"/>
            <c:spPr>
              <a:solidFill>
                <a:srgbClr val="F3AEA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56F2-494E-86DC-DACDE89C1EEF}"/>
              </c:ext>
            </c:extLst>
          </c:dPt>
          <c:dPt>
            <c:idx val="9"/>
            <c:bubble3D val="0"/>
            <c:spPr>
              <a:solidFill>
                <a:srgbClr val="FFDDD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56F2-494E-86DC-DACDE89C1EEF}"/>
              </c:ext>
            </c:extLst>
          </c:dPt>
          <c:dPt>
            <c:idx val="10"/>
            <c:bubble3D val="0"/>
            <c:spPr>
              <a:solidFill>
                <a:schemeClr val="accent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56F2-494E-86DC-DACDE89C1EEF}"/>
              </c:ext>
            </c:extLst>
          </c:dPt>
          <c:dPt>
            <c:idx val="11"/>
            <c:bubble3D val="0"/>
            <c:spPr>
              <a:solidFill>
                <a:srgbClr val="1CD9B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56F2-494E-86DC-DACDE89C1EEF}"/>
              </c:ext>
            </c:extLst>
          </c:dPt>
          <c:dPt>
            <c:idx val="12"/>
            <c:bubble3D val="0"/>
            <c:spPr>
              <a:solidFill>
                <a:schemeClr val="accent6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56F2-494E-86DC-DACDE89C1EEF}"/>
              </c:ext>
            </c:extLst>
          </c:dPt>
          <c:dPt>
            <c:idx val="1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56F2-494E-86DC-DACDE89C1EEF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56F2-494E-86DC-DACDE89C1EEF}"/>
              </c:ext>
            </c:extLst>
          </c:dPt>
          <c:dPt>
            <c:idx val="15"/>
            <c:bubble3D val="0"/>
            <c:spPr>
              <a:solidFill>
                <a:srgbClr val="66006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56F2-494E-86DC-DACDE89C1EEF}"/>
              </c:ext>
            </c:extLst>
          </c:dPt>
          <c:dPt>
            <c:idx val="16"/>
            <c:bubble3D val="0"/>
            <c:spPr>
              <a:solidFill>
                <a:schemeClr val="bg1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56F2-494E-86DC-DACDE89C1EEF}"/>
              </c:ext>
            </c:extLst>
          </c:dPt>
          <c:dPt>
            <c:idx val="17"/>
            <c:bubble3D val="0"/>
            <c:spPr>
              <a:solidFill>
                <a:srgbClr val="FFFF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56F2-494E-86DC-DACDE89C1EEF}"/>
              </c:ext>
            </c:extLst>
          </c:dPt>
          <c:cat>
            <c:strRef>
              <c:f>Feuil1!$C$34:$S$34</c:f>
              <c:strCache>
                <c:ptCount val="17"/>
                <c:pt idx="0">
                  <c:v>Other Bacteria</c:v>
                </c:pt>
                <c:pt idx="1">
                  <c:v>Other Pseudomonadota</c:v>
                </c:pt>
                <c:pt idx="2">
                  <c:v>Other Alphaproteobacteria</c:v>
                </c:pt>
                <c:pt idx="3">
                  <c:v>RHAL1</c:v>
                </c:pt>
                <c:pt idx="4">
                  <c:v>Other Beijerinckiaceae</c:v>
                </c:pt>
                <c:pt idx="5">
                  <c:v>JAJXWB01</c:v>
                </c:pt>
                <c:pt idx="6">
                  <c:v>Other Methylocystaceae</c:v>
                </c:pt>
                <c:pt idx="7">
                  <c:v>Methylobacterium</c:v>
                </c:pt>
                <c:pt idx="8">
                  <c:v>Enterovirga</c:v>
                </c:pt>
                <c:pt idx="9">
                  <c:v>Other Methylobacteriaceae</c:v>
                </c:pt>
                <c:pt idx="10">
                  <c:v>Lichenibacterium</c:v>
                </c:pt>
                <c:pt idx="11">
                  <c:v>Lichenifustis</c:v>
                </c:pt>
                <c:pt idx="12">
                  <c:v>Lichenihabitans</c:v>
                </c:pt>
                <c:pt idx="13">
                  <c:v>Other Lichenihabitantaceae</c:v>
                </c:pt>
                <c:pt idx="14">
                  <c:v>Rhizobiaceae</c:v>
                </c:pt>
                <c:pt idx="15">
                  <c:v>Xanthobacteraceae</c:v>
                </c:pt>
                <c:pt idx="16">
                  <c:v>Other Hyphomicrobiales</c:v>
                </c:pt>
              </c:strCache>
            </c:strRef>
          </c:cat>
          <c:val>
            <c:numRef>
              <c:f>Feuil1!$C$51:$S$51</c:f>
              <c:numCache>
                <c:formatCode>0.0%</c:formatCode>
                <c:ptCount val="17"/>
                <c:pt idx="0">
                  <c:v>0.80082954654548422</c:v>
                </c:pt>
                <c:pt idx="1">
                  <c:v>4.6326570383265014E-2</c:v>
                </c:pt>
                <c:pt idx="2">
                  <c:v>0.11789017130618669</c:v>
                </c:pt>
                <c:pt idx="3">
                  <c:v>0</c:v>
                </c:pt>
                <c:pt idx="4">
                  <c:v>1.24859136936389E-3</c:v>
                </c:pt>
                <c:pt idx="7">
                  <c:v>1.44927536231884E-4</c:v>
                </c:pt>
                <c:pt idx="8">
                  <c:v>1.3434263173066701E-3</c:v>
                </c:pt>
                <c:pt idx="9">
                  <c:v>8.9935512018215992E-5</c:v>
                </c:pt>
                <c:pt idx="10">
                  <c:v>1.69595942341604E-3</c:v>
                </c:pt>
                <c:pt idx="11">
                  <c:v>1.7757082672851599E-3</c:v>
                </c:pt>
                <c:pt idx="12">
                  <c:v>3.9380207885303803E-3</c:v>
                </c:pt>
                <c:pt idx="13">
                  <c:v>6.2343760688772076E-4</c:v>
                </c:pt>
                <c:pt idx="14">
                  <c:v>2.0880507946041101E-3</c:v>
                </c:pt>
                <c:pt idx="15">
                  <c:v>9.7614582813989794E-3</c:v>
                </c:pt>
                <c:pt idx="16">
                  <c:v>1.2244195868020252E-2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56F2-494E-86DC-DACDE89C1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14"/>
        <c:secondPieSize val="100"/>
        <c:serLines/>
      </c:ofPieChart>
    </c:plotArea>
    <c:plotVisOnly val="1"/>
    <c:dispBlanksAs val="gap"/>
    <c:showDLblsOverMax val="0"/>
  </c:chart>
  <c:txPr>
    <a:bodyPr/>
    <a:lstStyle/>
    <a:p>
      <a:pPr>
        <a:defRPr>
          <a:latin typeface="Arial"/>
          <a:cs typeface="Arial"/>
        </a:defRPr>
      </a:pPr>
      <a:endParaRPr lang="fr-FR"/>
    </a:p>
  </c:txPr>
  <c:printSettings>
    <c:headerFooter/>
    <c:pageMargins b="1" l="0.75" r="0.75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  <c:txPr>
        <a:bodyPr/>
        <a:lstStyle/>
        <a:p>
          <a:pPr>
            <a:defRPr sz="1200" b="0"/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2256932557343"/>
          <c:y val="9.6692913385826695E-2"/>
          <c:w val="0.82326035604245096"/>
          <c:h val="0.90291159627773798"/>
        </c:manualLayout>
      </c:layout>
      <c:ofPieChart>
        <c:ofPieType val="pie"/>
        <c:varyColors val="1"/>
        <c:ser>
          <c:idx val="0"/>
          <c:order val="0"/>
          <c:tx>
            <c:strRef>
              <c:f>Feuil1!$A$52</c:f>
              <c:strCache>
                <c:ptCount val="1"/>
                <c:pt idx="0">
                  <c:v>Photovoltaic panel Tropical South_America,Surface,PRJEB43933</c:v>
                </c:pt>
              </c:strCache>
            </c:strRef>
          </c:tx>
          <c:spPr>
            <a:ln w="6350" cmpd="sng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E892-7746-88AD-83F6E5D9557D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892-7746-88AD-83F6E5D9557D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892-7746-88AD-83F6E5D9557D}"/>
              </c:ext>
            </c:extLst>
          </c:dPt>
          <c:dPt>
            <c:idx val="3"/>
            <c:bubble3D val="0"/>
            <c:spPr>
              <a:solidFill>
                <a:srgbClr val="0000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E892-7746-88AD-83F6E5D9557D}"/>
              </c:ext>
            </c:extLst>
          </c:dPt>
          <c:dPt>
            <c:idx val="4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E892-7746-88AD-83F6E5D9557D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E892-7746-88AD-83F6E5D9557D}"/>
              </c:ext>
            </c:extLst>
          </c:dPt>
          <c:dPt>
            <c:idx val="6"/>
            <c:bubble3D val="0"/>
            <c:spPr>
              <a:solidFill>
                <a:srgbClr val="FFEDB3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E892-7746-88AD-83F6E5D9557D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E892-7746-88AD-83F6E5D9557D}"/>
              </c:ext>
            </c:extLst>
          </c:dPt>
          <c:dPt>
            <c:idx val="8"/>
            <c:bubble3D val="0"/>
            <c:spPr>
              <a:solidFill>
                <a:srgbClr val="F3AEA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E892-7746-88AD-83F6E5D9557D}"/>
              </c:ext>
            </c:extLst>
          </c:dPt>
          <c:dPt>
            <c:idx val="9"/>
            <c:bubble3D val="0"/>
            <c:spPr>
              <a:solidFill>
                <a:srgbClr val="FFDDD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E892-7746-88AD-83F6E5D9557D}"/>
              </c:ext>
            </c:extLst>
          </c:dPt>
          <c:dPt>
            <c:idx val="10"/>
            <c:bubble3D val="0"/>
            <c:spPr>
              <a:solidFill>
                <a:schemeClr val="accent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E892-7746-88AD-83F6E5D9557D}"/>
              </c:ext>
            </c:extLst>
          </c:dPt>
          <c:dPt>
            <c:idx val="11"/>
            <c:bubble3D val="0"/>
            <c:spPr>
              <a:solidFill>
                <a:srgbClr val="1CD9B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E892-7746-88AD-83F6E5D9557D}"/>
              </c:ext>
            </c:extLst>
          </c:dPt>
          <c:dPt>
            <c:idx val="12"/>
            <c:bubble3D val="0"/>
            <c:spPr>
              <a:solidFill>
                <a:schemeClr val="accent6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E892-7746-88AD-83F6E5D9557D}"/>
              </c:ext>
            </c:extLst>
          </c:dPt>
          <c:dPt>
            <c:idx val="1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E892-7746-88AD-83F6E5D9557D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E892-7746-88AD-83F6E5D9557D}"/>
              </c:ext>
            </c:extLst>
          </c:dPt>
          <c:dPt>
            <c:idx val="15"/>
            <c:bubble3D val="0"/>
            <c:spPr>
              <a:solidFill>
                <a:srgbClr val="66006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E892-7746-88AD-83F6E5D9557D}"/>
              </c:ext>
            </c:extLst>
          </c:dPt>
          <c:dPt>
            <c:idx val="16"/>
            <c:bubble3D val="0"/>
            <c:spPr>
              <a:solidFill>
                <a:schemeClr val="bg1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E892-7746-88AD-83F6E5D9557D}"/>
              </c:ext>
            </c:extLst>
          </c:dPt>
          <c:dPt>
            <c:idx val="17"/>
            <c:bubble3D val="0"/>
            <c:spPr>
              <a:solidFill>
                <a:srgbClr val="FFFF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E892-7746-88AD-83F6E5D9557D}"/>
              </c:ext>
            </c:extLst>
          </c:dPt>
          <c:cat>
            <c:strRef>
              <c:f>Feuil1!$C$34:$S$34</c:f>
              <c:strCache>
                <c:ptCount val="17"/>
                <c:pt idx="0">
                  <c:v>Other Bacteria</c:v>
                </c:pt>
                <c:pt idx="1">
                  <c:v>Other Pseudomonadota</c:v>
                </c:pt>
                <c:pt idx="2">
                  <c:v>Other Alphaproteobacteria</c:v>
                </c:pt>
                <c:pt idx="3">
                  <c:v>RHAL1</c:v>
                </c:pt>
                <c:pt idx="4">
                  <c:v>Other Beijerinckiaceae</c:v>
                </c:pt>
                <c:pt idx="5">
                  <c:v>JAJXWB01</c:v>
                </c:pt>
                <c:pt idx="6">
                  <c:v>Other Methylocystaceae</c:v>
                </c:pt>
                <c:pt idx="7">
                  <c:v>Methylobacterium</c:v>
                </c:pt>
                <c:pt idx="8">
                  <c:v>Enterovirga</c:v>
                </c:pt>
                <c:pt idx="9">
                  <c:v>Other Methylobacteriaceae</c:v>
                </c:pt>
                <c:pt idx="10">
                  <c:v>Lichenibacterium</c:v>
                </c:pt>
                <c:pt idx="11">
                  <c:v>Lichenifustis</c:v>
                </c:pt>
                <c:pt idx="12">
                  <c:v>Lichenihabitans</c:v>
                </c:pt>
                <c:pt idx="13">
                  <c:v>Other Lichenihabitantaceae</c:v>
                </c:pt>
                <c:pt idx="14">
                  <c:v>Rhizobiaceae</c:v>
                </c:pt>
                <c:pt idx="15">
                  <c:v>Xanthobacteraceae</c:v>
                </c:pt>
                <c:pt idx="16">
                  <c:v>Other Hyphomicrobiales</c:v>
                </c:pt>
              </c:strCache>
            </c:strRef>
          </c:cat>
          <c:val>
            <c:numRef>
              <c:f>Feuil1!$C$52:$S$52</c:f>
              <c:numCache>
                <c:formatCode>0.0%</c:formatCode>
                <c:ptCount val="17"/>
                <c:pt idx="0">
                  <c:v>0.22438988213899005</c:v>
                </c:pt>
                <c:pt idx="1">
                  <c:v>2.3360608936089378E-3</c:v>
                </c:pt>
                <c:pt idx="2">
                  <c:v>0.46239975440606601</c:v>
                </c:pt>
                <c:pt idx="3">
                  <c:v>0</c:v>
                </c:pt>
                <c:pt idx="4">
                  <c:v>0</c:v>
                </c:pt>
                <c:pt idx="7">
                  <c:v>0.30058750565470599</c:v>
                </c:pt>
                <c:pt idx="8">
                  <c:v>9.4578079715257205E-4</c:v>
                </c:pt>
                <c:pt idx="9">
                  <c:v>1.1135240254844803E-4</c:v>
                </c:pt>
                <c:pt idx="10">
                  <c:v>8.8960521320807801E-3</c:v>
                </c:pt>
                <c:pt idx="11">
                  <c:v>1.6694490818030001E-4</c:v>
                </c:pt>
                <c:pt idx="12">
                  <c:v>0</c:v>
                </c:pt>
                <c:pt idx="13">
                  <c:v>0</c:v>
                </c:pt>
                <c:pt idx="14">
                  <c:v>5.5555555555555497E-5</c:v>
                </c:pt>
                <c:pt idx="15">
                  <c:v>0</c:v>
                </c:pt>
                <c:pt idx="16">
                  <c:v>1.1111111111139493E-4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92-7746-88AD-83F6E5D95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14"/>
        <c:secondPieSize val="100"/>
        <c:serLines/>
      </c:ofPieChart>
    </c:plotArea>
    <c:plotVisOnly val="1"/>
    <c:dispBlanksAs val="gap"/>
    <c:showDLblsOverMax val="0"/>
  </c:chart>
  <c:txPr>
    <a:bodyPr/>
    <a:lstStyle/>
    <a:p>
      <a:pPr>
        <a:defRPr>
          <a:latin typeface="Arial"/>
          <a:cs typeface="Arial"/>
        </a:defRPr>
      </a:pPr>
      <a:endParaRPr lang="fr-FR"/>
    </a:p>
  </c:txPr>
  <c:printSettings>
    <c:headerFooter/>
    <c:pageMargins b="1" l="0.75" r="0.75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  <c:txPr>
        <a:bodyPr/>
        <a:lstStyle/>
        <a:p>
          <a:pPr>
            <a:defRPr sz="1200" b="0"/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2256932557343"/>
          <c:y val="9.6692913385826695E-2"/>
          <c:w val="0.82326035604245096"/>
          <c:h val="0.90291159627773798"/>
        </c:manualLayout>
      </c:layout>
      <c:ofPieChart>
        <c:ofPieType val="pie"/>
        <c:varyColors val="1"/>
        <c:ser>
          <c:idx val="0"/>
          <c:order val="0"/>
          <c:tx>
            <c:strRef>
              <c:f>Feuil1!$A$53</c:f>
              <c:strCache>
                <c:ptCount val="1"/>
                <c:pt idx="0">
                  <c:v>Snow North_America,Surface,PRJNA948675</c:v>
                </c:pt>
              </c:strCache>
            </c:strRef>
          </c:tx>
          <c:spPr>
            <a:ln w="6350" cmpd="sng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B56-D645-9A18-75746F0F2355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B56-D645-9A18-75746F0F2355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DB56-D645-9A18-75746F0F2355}"/>
              </c:ext>
            </c:extLst>
          </c:dPt>
          <c:dPt>
            <c:idx val="3"/>
            <c:bubble3D val="0"/>
            <c:spPr>
              <a:solidFill>
                <a:srgbClr val="0000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DB56-D645-9A18-75746F0F2355}"/>
              </c:ext>
            </c:extLst>
          </c:dPt>
          <c:dPt>
            <c:idx val="4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DB56-D645-9A18-75746F0F2355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DB56-D645-9A18-75746F0F2355}"/>
              </c:ext>
            </c:extLst>
          </c:dPt>
          <c:dPt>
            <c:idx val="6"/>
            <c:bubble3D val="0"/>
            <c:spPr>
              <a:solidFill>
                <a:srgbClr val="FFEDB3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DB56-D645-9A18-75746F0F2355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DB56-D645-9A18-75746F0F2355}"/>
              </c:ext>
            </c:extLst>
          </c:dPt>
          <c:dPt>
            <c:idx val="8"/>
            <c:bubble3D val="0"/>
            <c:spPr>
              <a:solidFill>
                <a:srgbClr val="F3AEA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DB56-D645-9A18-75746F0F2355}"/>
              </c:ext>
            </c:extLst>
          </c:dPt>
          <c:dPt>
            <c:idx val="9"/>
            <c:bubble3D val="0"/>
            <c:spPr>
              <a:solidFill>
                <a:srgbClr val="FFDDD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DB56-D645-9A18-75746F0F2355}"/>
              </c:ext>
            </c:extLst>
          </c:dPt>
          <c:dPt>
            <c:idx val="10"/>
            <c:bubble3D val="0"/>
            <c:spPr>
              <a:solidFill>
                <a:schemeClr val="accent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DB56-D645-9A18-75746F0F2355}"/>
              </c:ext>
            </c:extLst>
          </c:dPt>
          <c:dPt>
            <c:idx val="11"/>
            <c:bubble3D val="0"/>
            <c:spPr>
              <a:solidFill>
                <a:srgbClr val="1CD9B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DB56-D645-9A18-75746F0F2355}"/>
              </c:ext>
            </c:extLst>
          </c:dPt>
          <c:dPt>
            <c:idx val="12"/>
            <c:bubble3D val="0"/>
            <c:spPr>
              <a:solidFill>
                <a:schemeClr val="accent6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DB56-D645-9A18-75746F0F2355}"/>
              </c:ext>
            </c:extLst>
          </c:dPt>
          <c:dPt>
            <c:idx val="1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DB56-D645-9A18-75746F0F2355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DB56-D645-9A18-75746F0F2355}"/>
              </c:ext>
            </c:extLst>
          </c:dPt>
          <c:dPt>
            <c:idx val="15"/>
            <c:bubble3D val="0"/>
            <c:spPr>
              <a:solidFill>
                <a:srgbClr val="66006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DB56-D645-9A18-75746F0F2355}"/>
              </c:ext>
            </c:extLst>
          </c:dPt>
          <c:dPt>
            <c:idx val="16"/>
            <c:bubble3D val="0"/>
            <c:spPr>
              <a:solidFill>
                <a:schemeClr val="bg1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DB56-D645-9A18-75746F0F2355}"/>
              </c:ext>
            </c:extLst>
          </c:dPt>
          <c:dPt>
            <c:idx val="17"/>
            <c:bubble3D val="0"/>
            <c:spPr>
              <a:solidFill>
                <a:srgbClr val="FFFF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DB56-D645-9A18-75746F0F2355}"/>
              </c:ext>
            </c:extLst>
          </c:dPt>
          <c:cat>
            <c:strRef>
              <c:f>Feuil1!$C$34:$S$34</c:f>
              <c:strCache>
                <c:ptCount val="17"/>
                <c:pt idx="0">
                  <c:v>Other Bacteria</c:v>
                </c:pt>
                <c:pt idx="1">
                  <c:v>Other Pseudomonadota</c:v>
                </c:pt>
                <c:pt idx="2">
                  <c:v>Other Alphaproteobacteria</c:v>
                </c:pt>
                <c:pt idx="3">
                  <c:v>RHAL1</c:v>
                </c:pt>
                <c:pt idx="4">
                  <c:v>Other Beijerinckiaceae</c:v>
                </c:pt>
                <c:pt idx="5">
                  <c:v>JAJXWB01</c:v>
                </c:pt>
                <c:pt idx="6">
                  <c:v>Other Methylocystaceae</c:v>
                </c:pt>
                <c:pt idx="7">
                  <c:v>Methylobacterium</c:v>
                </c:pt>
                <c:pt idx="8">
                  <c:v>Enterovirga</c:v>
                </c:pt>
                <c:pt idx="9">
                  <c:v>Other Methylobacteriaceae</c:v>
                </c:pt>
                <c:pt idx="10">
                  <c:v>Lichenibacterium</c:v>
                </c:pt>
                <c:pt idx="11">
                  <c:v>Lichenifustis</c:v>
                </c:pt>
                <c:pt idx="12">
                  <c:v>Lichenihabitans</c:v>
                </c:pt>
                <c:pt idx="13">
                  <c:v>Other Lichenihabitantaceae</c:v>
                </c:pt>
                <c:pt idx="14">
                  <c:v>Rhizobiaceae</c:v>
                </c:pt>
                <c:pt idx="15">
                  <c:v>Xanthobacteraceae</c:v>
                </c:pt>
                <c:pt idx="16">
                  <c:v>Other Hyphomicrobiales</c:v>
                </c:pt>
              </c:strCache>
            </c:strRef>
          </c:cat>
          <c:val>
            <c:numRef>
              <c:f>Feuil1!$C$53:$S$53</c:f>
              <c:numCache>
                <c:formatCode>0.0%</c:formatCode>
                <c:ptCount val="17"/>
                <c:pt idx="0">
                  <c:v>0.47931175306484364</c:v>
                </c:pt>
                <c:pt idx="1">
                  <c:v>0.17603550164058002</c:v>
                </c:pt>
                <c:pt idx="2">
                  <c:v>0.20938242223307402</c:v>
                </c:pt>
                <c:pt idx="3">
                  <c:v>0</c:v>
                </c:pt>
                <c:pt idx="4">
                  <c:v>1.71830853187352E-3</c:v>
                </c:pt>
                <c:pt idx="7">
                  <c:v>1.5770789962904899E-2</c:v>
                </c:pt>
                <c:pt idx="8">
                  <c:v>4.8717948717948801E-4</c:v>
                </c:pt>
                <c:pt idx="9">
                  <c:v>2.0512820512821189E-4</c:v>
                </c:pt>
                <c:pt idx="10">
                  <c:v>8.0108021280423505E-2</c:v>
                </c:pt>
                <c:pt idx="11">
                  <c:v>4.6666666666666697E-3</c:v>
                </c:pt>
                <c:pt idx="12">
                  <c:v>2.5641025641025599E-5</c:v>
                </c:pt>
                <c:pt idx="13">
                  <c:v>2.1692727475219803E-2</c:v>
                </c:pt>
                <c:pt idx="14">
                  <c:v>2.8217122002621503E-4</c:v>
                </c:pt>
                <c:pt idx="15">
                  <c:v>2.2332879282428299E-3</c:v>
                </c:pt>
                <c:pt idx="16">
                  <c:v>8.0804012781958423E-3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B56-D645-9A18-75746F0F2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14"/>
        <c:secondPieSize val="100"/>
        <c:serLines/>
      </c:ofPieChart>
    </c:plotArea>
    <c:plotVisOnly val="1"/>
    <c:dispBlanksAs val="gap"/>
    <c:showDLblsOverMax val="0"/>
  </c:chart>
  <c:txPr>
    <a:bodyPr/>
    <a:lstStyle/>
    <a:p>
      <a:pPr>
        <a:defRPr>
          <a:latin typeface="Arial"/>
          <a:cs typeface="Arial"/>
        </a:defRPr>
      </a:pPr>
      <a:endParaRPr lang="fr-FR"/>
    </a:p>
  </c:txPr>
  <c:printSettings>
    <c:headerFooter/>
    <c:pageMargins b="1" l="0.75" r="0.75" t="1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  <c:txPr>
        <a:bodyPr/>
        <a:lstStyle/>
        <a:p>
          <a:pPr>
            <a:defRPr sz="1200" b="0"/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2256932557343"/>
          <c:y val="9.6692913385826695E-2"/>
          <c:w val="0.82326035604245096"/>
          <c:h val="0.90291159627773798"/>
        </c:manualLayout>
      </c:layout>
      <c:ofPieChart>
        <c:ofPieType val="pie"/>
        <c:varyColors val="1"/>
        <c:ser>
          <c:idx val="0"/>
          <c:order val="0"/>
          <c:tx>
            <c:strRef>
              <c:f>Feuil1!$A$55</c:f>
              <c:strCache>
                <c:ptCount val="1"/>
                <c:pt idx="0">
                  <c:v>Test</c:v>
                </c:pt>
              </c:strCache>
            </c:strRef>
          </c:tx>
          <c:spPr>
            <a:ln w="6350" cmpd="sng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BCBE-874A-9F13-2D9082E945C7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BCBE-874A-9F13-2D9082E945C7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BCBE-874A-9F13-2D9082E945C7}"/>
              </c:ext>
            </c:extLst>
          </c:dPt>
          <c:dPt>
            <c:idx val="3"/>
            <c:bubble3D val="0"/>
            <c:spPr>
              <a:solidFill>
                <a:srgbClr val="0000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BCBE-874A-9F13-2D9082E945C7}"/>
              </c:ext>
            </c:extLst>
          </c:dPt>
          <c:dPt>
            <c:idx val="4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BCBE-874A-9F13-2D9082E945C7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BCBE-874A-9F13-2D9082E945C7}"/>
              </c:ext>
            </c:extLst>
          </c:dPt>
          <c:dPt>
            <c:idx val="6"/>
            <c:bubble3D val="0"/>
            <c:spPr>
              <a:solidFill>
                <a:srgbClr val="FFEDB3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BCBE-874A-9F13-2D9082E945C7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BCBE-874A-9F13-2D9082E945C7}"/>
              </c:ext>
            </c:extLst>
          </c:dPt>
          <c:dPt>
            <c:idx val="8"/>
            <c:bubble3D val="0"/>
            <c:spPr>
              <a:solidFill>
                <a:srgbClr val="F3AEA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BCBE-874A-9F13-2D9082E945C7}"/>
              </c:ext>
            </c:extLst>
          </c:dPt>
          <c:dPt>
            <c:idx val="9"/>
            <c:bubble3D val="0"/>
            <c:spPr>
              <a:solidFill>
                <a:srgbClr val="FFDDD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BCBE-874A-9F13-2D9082E945C7}"/>
              </c:ext>
            </c:extLst>
          </c:dPt>
          <c:dPt>
            <c:idx val="10"/>
            <c:bubble3D val="0"/>
            <c:spPr>
              <a:solidFill>
                <a:schemeClr val="accent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BCBE-874A-9F13-2D9082E945C7}"/>
              </c:ext>
            </c:extLst>
          </c:dPt>
          <c:dPt>
            <c:idx val="11"/>
            <c:bubble3D val="0"/>
            <c:spPr>
              <a:solidFill>
                <a:srgbClr val="1CD9B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BCBE-874A-9F13-2D9082E945C7}"/>
              </c:ext>
            </c:extLst>
          </c:dPt>
          <c:dPt>
            <c:idx val="12"/>
            <c:bubble3D val="0"/>
            <c:spPr>
              <a:solidFill>
                <a:schemeClr val="accent6">
                  <a:lumMod val="5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BCBE-874A-9F13-2D9082E945C7}"/>
              </c:ext>
            </c:extLst>
          </c:dPt>
          <c:dPt>
            <c:idx val="1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BCBE-874A-9F13-2D9082E945C7}"/>
              </c:ext>
            </c:extLst>
          </c:dPt>
          <c:dPt>
            <c:idx val="14"/>
            <c:bubble3D val="0"/>
            <c:spPr>
              <a:solidFill>
                <a:srgbClr val="FFFF0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BCBE-874A-9F13-2D9082E945C7}"/>
              </c:ext>
            </c:extLst>
          </c:dPt>
          <c:dPt>
            <c:idx val="15"/>
            <c:bubble3D val="0"/>
            <c:spPr>
              <a:solidFill>
                <a:srgbClr val="66006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BCBE-874A-9F13-2D9082E945C7}"/>
              </c:ext>
            </c:extLst>
          </c:dPt>
          <c:dPt>
            <c:idx val="16"/>
            <c:bubble3D val="0"/>
            <c:spPr>
              <a:solidFill>
                <a:schemeClr val="bg1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BCBE-874A-9F13-2D9082E945C7}"/>
              </c:ext>
            </c:extLst>
          </c:dPt>
          <c:dPt>
            <c:idx val="17"/>
            <c:bubble3D val="0"/>
            <c:spPr>
              <a:solidFill>
                <a:srgbClr val="FFFFFF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BCBE-874A-9F13-2D9082E945C7}"/>
              </c:ext>
            </c:extLst>
          </c:dPt>
          <c:cat>
            <c:strRef>
              <c:f>Feuil1!$C$34:$S$34</c:f>
              <c:strCache>
                <c:ptCount val="17"/>
                <c:pt idx="0">
                  <c:v>Other Bacteria</c:v>
                </c:pt>
                <c:pt idx="1">
                  <c:v>Other Pseudomonadota</c:v>
                </c:pt>
                <c:pt idx="2">
                  <c:v>Other Alphaproteobacteria</c:v>
                </c:pt>
                <c:pt idx="3">
                  <c:v>RHAL1</c:v>
                </c:pt>
                <c:pt idx="4">
                  <c:v>Other Beijerinckiaceae</c:v>
                </c:pt>
                <c:pt idx="5">
                  <c:v>JAJXWB01</c:v>
                </c:pt>
                <c:pt idx="6">
                  <c:v>Other Methylocystaceae</c:v>
                </c:pt>
                <c:pt idx="7">
                  <c:v>Methylobacterium</c:v>
                </c:pt>
                <c:pt idx="8">
                  <c:v>Enterovirga</c:v>
                </c:pt>
                <c:pt idx="9">
                  <c:v>Other Methylobacteriaceae</c:v>
                </c:pt>
                <c:pt idx="10">
                  <c:v>Lichenibacterium</c:v>
                </c:pt>
                <c:pt idx="11">
                  <c:v>Lichenifustis</c:v>
                </c:pt>
                <c:pt idx="12">
                  <c:v>Lichenihabitans</c:v>
                </c:pt>
                <c:pt idx="13">
                  <c:v>Other Lichenihabitantaceae</c:v>
                </c:pt>
                <c:pt idx="14">
                  <c:v>Rhizobiaceae</c:v>
                </c:pt>
                <c:pt idx="15">
                  <c:v>Xanthobacteraceae</c:v>
                </c:pt>
                <c:pt idx="16">
                  <c:v>Other Hyphomicrobiales</c:v>
                </c:pt>
              </c:strCache>
            </c:strRef>
          </c:cat>
          <c:val>
            <c:numRef>
              <c:f>Feuil1!$C$55:$S$55</c:f>
              <c:numCache>
                <c:formatCode>0.0%</c:formatCode>
                <c:ptCount val="17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BCBE-874A-9F13-2D9082E94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14"/>
        <c:secondPieSize val="100"/>
        <c:serLines/>
      </c:ofPieChart>
    </c:plotArea>
    <c:plotVisOnly val="1"/>
    <c:dispBlanksAs val="gap"/>
    <c:showDLblsOverMax val="0"/>
  </c:chart>
  <c:txPr>
    <a:bodyPr/>
    <a:lstStyle/>
    <a:p>
      <a:pPr>
        <a:defRPr>
          <a:latin typeface="Arial"/>
          <a:cs typeface="Arial"/>
        </a:defRPr>
      </a:pPr>
      <a:endParaRPr lang="fr-FR"/>
    </a:p>
  </c:txPr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34</xdr:row>
      <xdr:rowOff>12700</xdr:rowOff>
    </xdr:from>
    <xdr:to>
      <xdr:col>30</xdr:col>
      <xdr:colOff>444500</xdr:colOff>
      <xdr:row>50</xdr:row>
      <xdr:rowOff>114300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34</xdr:row>
      <xdr:rowOff>0</xdr:rowOff>
    </xdr:from>
    <xdr:to>
      <xdr:col>42</xdr:col>
      <xdr:colOff>127000</xdr:colOff>
      <xdr:row>50</xdr:row>
      <xdr:rowOff>101600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51</xdr:row>
      <xdr:rowOff>12700</xdr:rowOff>
    </xdr:from>
    <xdr:to>
      <xdr:col>30</xdr:col>
      <xdr:colOff>444500</xdr:colOff>
      <xdr:row>67</xdr:row>
      <xdr:rowOff>114300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0</xdr:colOff>
      <xdr:row>51</xdr:row>
      <xdr:rowOff>0</xdr:rowOff>
    </xdr:from>
    <xdr:to>
      <xdr:col>42</xdr:col>
      <xdr:colOff>127000</xdr:colOff>
      <xdr:row>67</xdr:row>
      <xdr:rowOff>101600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0</xdr:colOff>
      <xdr:row>68</xdr:row>
      <xdr:rowOff>12700</xdr:rowOff>
    </xdr:from>
    <xdr:to>
      <xdr:col>30</xdr:col>
      <xdr:colOff>444500</xdr:colOff>
      <xdr:row>84</xdr:row>
      <xdr:rowOff>114300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0</xdr:colOff>
      <xdr:row>68</xdr:row>
      <xdr:rowOff>0</xdr:rowOff>
    </xdr:from>
    <xdr:to>
      <xdr:col>42</xdr:col>
      <xdr:colOff>127000</xdr:colOff>
      <xdr:row>84</xdr:row>
      <xdr:rowOff>101600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0</xdr:colOff>
      <xdr:row>85</xdr:row>
      <xdr:rowOff>12700</xdr:rowOff>
    </xdr:from>
    <xdr:to>
      <xdr:col>30</xdr:col>
      <xdr:colOff>444500</xdr:colOff>
      <xdr:row>101</xdr:row>
      <xdr:rowOff>114300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32</xdr:col>
      <xdr:colOff>0</xdr:colOff>
      <xdr:row>85</xdr:row>
      <xdr:rowOff>0</xdr:rowOff>
    </xdr:from>
    <xdr:to>
      <xdr:col>42</xdr:col>
      <xdr:colOff>127000</xdr:colOff>
      <xdr:row>101</xdr:row>
      <xdr:rowOff>101600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0</xdr:colOff>
      <xdr:row>102</xdr:row>
      <xdr:rowOff>12700</xdr:rowOff>
    </xdr:from>
    <xdr:to>
      <xdr:col>30</xdr:col>
      <xdr:colOff>444500</xdr:colOff>
      <xdr:row>118</xdr:row>
      <xdr:rowOff>114300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0</xdr:colOff>
      <xdr:row>102</xdr:row>
      <xdr:rowOff>0</xdr:rowOff>
    </xdr:from>
    <xdr:to>
      <xdr:col>42</xdr:col>
      <xdr:colOff>127000</xdr:colOff>
      <xdr:row>118</xdr:row>
      <xdr:rowOff>101600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0</xdr:colOff>
      <xdr:row>119</xdr:row>
      <xdr:rowOff>12700</xdr:rowOff>
    </xdr:from>
    <xdr:to>
      <xdr:col>30</xdr:col>
      <xdr:colOff>444500</xdr:colOff>
      <xdr:row>135</xdr:row>
      <xdr:rowOff>114300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32</xdr:col>
      <xdr:colOff>0</xdr:colOff>
      <xdr:row>119</xdr:row>
      <xdr:rowOff>0</xdr:rowOff>
    </xdr:from>
    <xdr:to>
      <xdr:col>42</xdr:col>
      <xdr:colOff>127000</xdr:colOff>
      <xdr:row>135</xdr:row>
      <xdr:rowOff>101600</xdr:rowOff>
    </xdr:to>
    <xdr:graphicFrame macro="">
      <xdr:nvGraphicFramePr>
        <xdr:cNvPr id="22" name="Graphiqu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0</xdr:colOff>
      <xdr:row>136</xdr:row>
      <xdr:rowOff>12700</xdr:rowOff>
    </xdr:from>
    <xdr:to>
      <xdr:col>30</xdr:col>
      <xdr:colOff>444500</xdr:colOff>
      <xdr:row>152</xdr:row>
      <xdr:rowOff>114300</xdr:rowOff>
    </xdr:to>
    <xdr:graphicFrame macro="">
      <xdr:nvGraphicFramePr>
        <xdr:cNvPr id="23" name="Graphiqu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32</xdr:col>
      <xdr:colOff>0</xdr:colOff>
      <xdr:row>136</xdr:row>
      <xdr:rowOff>0</xdr:rowOff>
    </xdr:from>
    <xdr:to>
      <xdr:col>42</xdr:col>
      <xdr:colOff>127000</xdr:colOff>
      <xdr:row>152</xdr:row>
      <xdr:rowOff>101600</xdr:rowOff>
    </xdr:to>
    <xdr:graphicFrame macro="">
      <xdr:nvGraphicFramePr>
        <xdr:cNvPr id="24" name="Graphiqu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21</xdr:col>
      <xdr:colOff>0</xdr:colOff>
      <xdr:row>153</xdr:row>
      <xdr:rowOff>12700</xdr:rowOff>
    </xdr:from>
    <xdr:to>
      <xdr:col>30</xdr:col>
      <xdr:colOff>444500</xdr:colOff>
      <xdr:row>169</xdr:row>
      <xdr:rowOff>114300</xdr:rowOff>
    </xdr:to>
    <xdr:graphicFrame macro="">
      <xdr:nvGraphicFramePr>
        <xdr:cNvPr id="27" name="Graphiqu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32</xdr:col>
      <xdr:colOff>0</xdr:colOff>
      <xdr:row>153</xdr:row>
      <xdr:rowOff>0</xdr:rowOff>
    </xdr:from>
    <xdr:to>
      <xdr:col>42</xdr:col>
      <xdr:colOff>127000</xdr:colOff>
      <xdr:row>169</xdr:row>
      <xdr:rowOff>101600</xdr:rowOff>
    </xdr:to>
    <xdr:graphicFrame macro="">
      <xdr:nvGraphicFramePr>
        <xdr:cNvPr id="28" name="Graphiqu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21</xdr:col>
      <xdr:colOff>0</xdr:colOff>
      <xdr:row>170</xdr:row>
      <xdr:rowOff>12700</xdr:rowOff>
    </xdr:from>
    <xdr:to>
      <xdr:col>30</xdr:col>
      <xdr:colOff>444500</xdr:colOff>
      <xdr:row>186</xdr:row>
      <xdr:rowOff>114300</xdr:rowOff>
    </xdr:to>
    <xdr:graphicFrame macro="">
      <xdr:nvGraphicFramePr>
        <xdr:cNvPr id="29" name="Graphiqu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32</xdr:col>
      <xdr:colOff>0</xdr:colOff>
      <xdr:row>170</xdr:row>
      <xdr:rowOff>0</xdr:rowOff>
    </xdr:from>
    <xdr:to>
      <xdr:col>42</xdr:col>
      <xdr:colOff>127000</xdr:colOff>
      <xdr:row>186</xdr:row>
      <xdr:rowOff>101600</xdr:rowOff>
    </xdr:to>
    <xdr:graphicFrame macro="">
      <xdr:nvGraphicFramePr>
        <xdr:cNvPr id="30" name="Graphiqu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0</xdr:colOff>
      <xdr:row>187</xdr:row>
      <xdr:rowOff>0</xdr:rowOff>
    </xdr:from>
    <xdr:to>
      <xdr:col>30</xdr:col>
      <xdr:colOff>444500</xdr:colOff>
      <xdr:row>203</xdr:row>
      <xdr:rowOff>101600</xdr:rowOff>
    </xdr:to>
    <xdr:graphicFrame macro="">
      <xdr:nvGraphicFramePr>
        <xdr:cNvPr id="31" name="Graphiqu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32</xdr:col>
      <xdr:colOff>0</xdr:colOff>
      <xdr:row>187</xdr:row>
      <xdr:rowOff>0</xdr:rowOff>
    </xdr:from>
    <xdr:to>
      <xdr:col>42</xdr:col>
      <xdr:colOff>127000</xdr:colOff>
      <xdr:row>203</xdr:row>
      <xdr:rowOff>101600</xdr:rowOff>
    </xdr:to>
    <xdr:graphicFrame macro="">
      <xdr:nvGraphicFramePr>
        <xdr:cNvPr id="32" name="Graphiqu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183"/>
  <sheetViews>
    <sheetView tabSelected="1" zoomScale="120" zoomScaleNormal="120" workbookViewId="0">
      <selection activeCell="A6" sqref="A6"/>
    </sheetView>
  </sheetViews>
  <sheetFormatPr baseColWidth="10" defaultRowHeight="16" x14ac:dyDescent="0.2"/>
  <cols>
    <col min="1" max="1" width="64.83203125" bestFit="1" customWidth="1"/>
    <col min="2" max="2" width="4.1640625" bestFit="1" customWidth="1"/>
    <col min="3" max="11" width="6.33203125" bestFit="1" customWidth="1"/>
    <col min="12" max="12" width="5.6640625" bestFit="1" customWidth="1"/>
    <col min="13" max="17" width="6.33203125" bestFit="1" customWidth="1"/>
    <col min="18" max="18" width="6.6640625" bestFit="1" customWidth="1"/>
    <col min="19" max="19" width="6.1640625" bestFit="1" customWidth="1"/>
    <col min="20" max="20" width="7.1640625" bestFit="1" customWidth="1"/>
    <col min="21" max="21" width="6.1640625" bestFit="1" customWidth="1"/>
    <col min="22" max="22" width="5.1640625" bestFit="1" customWidth="1"/>
    <col min="23" max="23" width="6.1640625" bestFit="1" customWidth="1"/>
    <col min="24" max="26" width="5.1640625" bestFit="1" customWidth="1"/>
    <col min="27" max="27" width="6.1640625" bestFit="1" customWidth="1"/>
    <col min="28" max="28" width="7.1640625" bestFit="1" customWidth="1"/>
    <col min="29" max="29" width="5.1640625" bestFit="1" customWidth="1"/>
    <col min="30" max="30" width="6.1640625" bestFit="1" customWidth="1"/>
    <col min="31" max="34" width="5.1640625" bestFit="1" customWidth="1"/>
    <col min="35" max="35" width="6.1640625" bestFit="1" customWidth="1"/>
    <col min="36" max="37" width="5.1640625" bestFit="1" customWidth="1"/>
    <col min="38" max="38" width="6.1640625" bestFit="1" customWidth="1"/>
    <col min="39" max="41" width="5.1640625" bestFit="1" customWidth="1"/>
    <col min="42" max="42" width="6.1640625" bestFit="1" customWidth="1"/>
    <col min="43" max="44" width="5.1640625" bestFit="1" customWidth="1"/>
    <col min="45" max="45" width="6.1640625" bestFit="1" customWidth="1"/>
    <col min="46" max="46" width="5.1640625" bestFit="1" customWidth="1"/>
    <col min="63" max="63" width="10.83203125" customWidth="1"/>
  </cols>
  <sheetData>
    <row r="1" spans="1:46" ht="182" customHeight="1" x14ac:dyDescent="0.2">
      <c r="A1" s="45" t="s">
        <v>92</v>
      </c>
      <c r="C1" s="3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3" t="s">
        <v>25</v>
      </c>
      <c r="K1" s="2" t="s">
        <v>26</v>
      </c>
      <c r="L1" s="2" t="s">
        <v>27</v>
      </c>
      <c r="M1" s="3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  <c r="Z1" s="2" t="s">
        <v>41</v>
      </c>
      <c r="AA1" s="2" t="s">
        <v>42</v>
      </c>
      <c r="AB1" s="2" t="s">
        <v>43</v>
      </c>
      <c r="AC1" s="2" t="s">
        <v>44</v>
      </c>
      <c r="AD1" s="2" t="s">
        <v>45</v>
      </c>
      <c r="AE1" s="2" t="s">
        <v>46</v>
      </c>
      <c r="AF1" s="2" t="s">
        <v>47</v>
      </c>
      <c r="AG1" s="3" t="s">
        <v>48</v>
      </c>
      <c r="AH1" s="3" t="s">
        <v>49</v>
      </c>
      <c r="AI1" s="3" t="s">
        <v>50</v>
      </c>
      <c r="AJ1" s="3" t="s">
        <v>51</v>
      </c>
      <c r="AK1" s="3" t="s">
        <v>52</v>
      </c>
      <c r="AL1" s="3" t="s">
        <v>53</v>
      </c>
      <c r="AM1" s="3" t="s">
        <v>54</v>
      </c>
      <c r="AN1" s="2" t="s">
        <v>55</v>
      </c>
      <c r="AO1" s="2" t="s">
        <v>56</v>
      </c>
      <c r="AP1" s="2" t="s">
        <v>57</v>
      </c>
      <c r="AQ1" s="2" t="s">
        <v>58</v>
      </c>
      <c r="AR1" s="2" t="s">
        <v>59</v>
      </c>
      <c r="AS1" s="2" t="s">
        <v>60</v>
      </c>
      <c r="AT1" s="2" t="s">
        <v>61</v>
      </c>
    </row>
    <row r="2" spans="1:46" x14ac:dyDescent="0.2">
      <c r="A2" s="30" t="s">
        <v>62</v>
      </c>
      <c r="B2">
        <v>37</v>
      </c>
      <c r="C2" s="4">
        <v>0.34889150847033901</v>
      </c>
      <c r="D2" s="1">
        <v>8.0760234585236804E-2</v>
      </c>
      <c r="E2" s="1">
        <v>0.28904521709307002</v>
      </c>
      <c r="F2" s="1">
        <v>2.6041942440805099E-2</v>
      </c>
      <c r="G2" s="1">
        <v>0.17876501973141901</v>
      </c>
      <c r="H2" s="1">
        <v>2.0528242679022701E-2</v>
      </c>
      <c r="I2" s="1">
        <v>5.5967835000107602E-2</v>
      </c>
      <c r="J2" s="4">
        <v>0.21359323031779701</v>
      </c>
      <c r="K2" s="1">
        <v>0.13525323310749701</v>
      </c>
      <c r="L2" s="1">
        <v>4.5045045045040499E-5</v>
      </c>
      <c r="M2" s="4">
        <v>7.6383904330121002E-2</v>
      </c>
      <c r="N2" s="1">
        <v>6.2224269990943298E-2</v>
      </c>
      <c r="O2" s="1">
        <v>1.6439168644200901E-2</v>
      </c>
      <c r="P2" s="1">
        <v>3.9877278998496898E-2</v>
      </c>
      <c r="Q2" s="1">
        <v>1.03343402340906E-2</v>
      </c>
      <c r="R2" s="1">
        <v>8.33426811994443E-3</v>
      </c>
      <c r="S2" s="4">
        <v>1.3518019520020199E-4</v>
      </c>
      <c r="T2" s="43">
        <v>1.04961989016043E-2</v>
      </c>
      <c r="U2" s="43">
        <v>3.3879132165522297E-2</v>
      </c>
      <c r="V2" s="4">
        <v>1.53306459612766E-4</v>
      </c>
      <c r="W2" s="4">
        <v>2.0662831262782001E-2</v>
      </c>
      <c r="X2" s="4">
        <v>3.1280378636614498E-3</v>
      </c>
      <c r="Y2" s="4">
        <v>7.9292174817379903E-3</v>
      </c>
      <c r="Z2" s="1">
        <v>1.0009107906605299E-3</v>
      </c>
      <c r="AA2" s="1">
        <v>1.04961989016043E-2</v>
      </c>
      <c r="AB2" s="1">
        <v>3.2014059886035701E-2</v>
      </c>
      <c r="AC2" s="1">
        <v>0</v>
      </c>
      <c r="AD2" s="1">
        <v>2.0662831262782001E-2</v>
      </c>
      <c r="AE2" s="1">
        <v>3.1280378636614498E-3</v>
      </c>
      <c r="AF2" s="1">
        <v>9.0818656253771196E-3</v>
      </c>
      <c r="AG2" s="4">
        <v>7.29855982108234E-4</v>
      </c>
      <c r="AH2" s="4">
        <v>0</v>
      </c>
      <c r="AI2" s="4">
        <v>1.04691448204962E-2</v>
      </c>
      <c r="AJ2" s="4">
        <v>2.70540811081351E-5</v>
      </c>
      <c r="AK2" s="4">
        <v>0</v>
      </c>
      <c r="AL2" s="4">
        <v>3.12122580842338E-2</v>
      </c>
      <c r="AM2" s="4">
        <v>1.3518019520020199E-4</v>
      </c>
      <c r="AN2" s="1">
        <v>0</v>
      </c>
      <c r="AO2" s="1">
        <v>0</v>
      </c>
      <c r="AP2" s="1">
        <v>1.04961989016043E-2</v>
      </c>
      <c r="AQ2" s="1">
        <v>0</v>
      </c>
      <c r="AR2" s="1">
        <v>0</v>
      </c>
      <c r="AS2" s="1">
        <v>3.1230276102251899E-2</v>
      </c>
      <c r="AT2" s="1">
        <v>0</v>
      </c>
    </row>
    <row r="3" spans="1:46" x14ac:dyDescent="0.2">
      <c r="A3" s="30" t="s">
        <v>0</v>
      </c>
      <c r="B3">
        <v>37</v>
      </c>
      <c r="C3" s="4">
        <v>0.63710871384551804</v>
      </c>
      <c r="D3" s="1">
        <v>3.8096627167377502E-2</v>
      </c>
      <c r="E3" s="1">
        <v>4.7222332841148698E-2</v>
      </c>
      <c r="F3" s="1">
        <v>4.1290482498455697E-2</v>
      </c>
      <c r="G3" s="1">
        <v>8.0464496484536196E-3</v>
      </c>
      <c r="H3" s="1">
        <v>3.6156402424371598E-2</v>
      </c>
      <c r="I3" s="1">
        <v>0.19207899157467501</v>
      </c>
      <c r="J3" s="4">
        <v>0.54953939216387004</v>
      </c>
      <c r="K3" s="1">
        <v>4.2074452458340197E-2</v>
      </c>
      <c r="L3" s="1">
        <v>4.5494869223307602E-2</v>
      </c>
      <c r="M3" s="4">
        <v>3.8655093245302002E-2</v>
      </c>
      <c r="N3" s="1">
        <v>5.9618152234165403E-2</v>
      </c>
      <c r="O3" s="1">
        <v>2.8311010531994099E-2</v>
      </c>
      <c r="P3" s="1">
        <v>0.38058192549273001</v>
      </c>
      <c r="Q3" s="1">
        <v>4.50450450450451E-5</v>
      </c>
      <c r="R3" s="1">
        <v>4.23281656146344E-2</v>
      </c>
      <c r="S3" s="4">
        <v>3.1811029988861E-3</v>
      </c>
      <c r="T3" s="43">
        <v>1.5733655407102101E-2</v>
      </c>
      <c r="U3" s="4">
        <v>3.18938154770519E-3</v>
      </c>
      <c r="V3" s="4">
        <v>0</v>
      </c>
      <c r="W3" s="4">
        <v>3.6396666877067298E-3</v>
      </c>
      <c r="X3" s="4">
        <v>2.34236638039107E-3</v>
      </c>
      <c r="Y3" s="4">
        <v>1.0568920223510799E-2</v>
      </c>
      <c r="Z3" s="1">
        <v>5.6771936420678196E-3</v>
      </c>
      <c r="AA3" s="1">
        <v>1.8679877955994E-2</v>
      </c>
      <c r="AB3" s="1">
        <v>4.1443906108223601E-3</v>
      </c>
      <c r="AC3" s="1">
        <v>0</v>
      </c>
      <c r="AD3" s="1">
        <v>3.6396666877067298E-3</v>
      </c>
      <c r="AE3" s="1">
        <v>2.34236638039107E-3</v>
      </c>
      <c r="AF3" s="1">
        <v>4.1715979683199997E-3</v>
      </c>
      <c r="AG3" s="4">
        <v>1.27934840144916E-3</v>
      </c>
      <c r="AH3" s="4">
        <v>0</v>
      </c>
      <c r="AI3" s="4">
        <v>1.1318754079368E-2</v>
      </c>
      <c r="AJ3" s="4">
        <v>2.40570900229225E-3</v>
      </c>
      <c r="AK3" s="4">
        <v>2.0091923254418899E-3</v>
      </c>
      <c r="AL3" s="4">
        <v>1.55868179490468E-3</v>
      </c>
      <c r="AM3" s="4">
        <v>0</v>
      </c>
      <c r="AN3" s="1">
        <v>1.27934840144916E-3</v>
      </c>
      <c r="AO3" s="1">
        <v>0</v>
      </c>
      <c r="AP3" s="1">
        <v>1.8679877955994E-2</v>
      </c>
      <c r="AQ3" s="1">
        <v>0</v>
      </c>
      <c r="AR3" s="1">
        <v>0</v>
      </c>
      <c r="AS3" s="1">
        <v>1.55868179490468E-3</v>
      </c>
      <c r="AT3" s="1">
        <v>0</v>
      </c>
    </row>
    <row r="4" spans="1:46" x14ac:dyDescent="0.2">
      <c r="A4" s="31" t="s">
        <v>1</v>
      </c>
      <c r="B4">
        <v>9</v>
      </c>
      <c r="C4" s="4">
        <v>0.70715460467134905</v>
      </c>
      <c r="D4" s="1">
        <v>1.4823464618256001E-4</v>
      </c>
      <c r="E4" s="1">
        <v>0.133773190177853</v>
      </c>
      <c r="F4" s="1">
        <v>4.6163927286097702E-2</v>
      </c>
      <c r="G4" s="1">
        <v>5.1874831620840403E-3</v>
      </c>
      <c r="H4" s="1">
        <v>6.3663712538888195E-2</v>
      </c>
      <c r="I4" s="1">
        <v>4.3908847517545001E-2</v>
      </c>
      <c r="J4" s="4">
        <v>0.38399917708008502</v>
      </c>
      <c r="K4" s="1">
        <v>0.32308132880936102</v>
      </c>
      <c r="L4" s="1">
        <v>7.4098781903996093E-5</v>
      </c>
      <c r="M4" s="4">
        <v>0.17226007795690201</v>
      </c>
      <c r="N4" s="1">
        <v>0.132702163443425</v>
      </c>
      <c r="O4" s="1">
        <v>1.9381110140978201E-2</v>
      </c>
      <c r="P4" s="1">
        <v>5.1880272040215098E-4</v>
      </c>
      <c r="Q4" s="1">
        <v>2.2236310387264398E-3</v>
      </c>
      <c r="R4" s="1">
        <v>5.6913391779651303E-2</v>
      </c>
      <c r="S4" s="4">
        <v>2.7720385553842101E-2</v>
      </c>
      <c r="T4" s="4">
        <v>1.3303167159264301E-2</v>
      </c>
      <c r="U4" s="4">
        <v>6.8555711184988197E-3</v>
      </c>
      <c r="V4" s="4">
        <v>2.8905569601535902E-3</v>
      </c>
      <c r="W4" s="4">
        <v>2.34155852881964E-2</v>
      </c>
      <c r="X4" s="4">
        <v>7.3620086632418702E-2</v>
      </c>
      <c r="Y4" s="4">
        <v>2.44547252445276E-2</v>
      </c>
      <c r="Z4" s="1">
        <v>2.6423471438077498E-2</v>
      </c>
      <c r="AA4" s="1">
        <v>1.5749020255092599E-2</v>
      </c>
      <c r="AB4" s="1">
        <v>6.37387959982512E-3</v>
      </c>
      <c r="AC4" s="1">
        <v>0</v>
      </c>
      <c r="AD4" s="1">
        <v>2.34155852881964E-2</v>
      </c>
      <c r="AE4" s="1">
        <v>7.3620086632418702E-2</v>
      </c>
      <c r="AF4" s="1">
        <v>2.6678034743291199E-2</v>
      </c>
      <c r="AG4" s="4">
        <v>2.0752974209767498E-3</v>
      </c>
      <c r="AH4" s="4">
        <v>0</v>
      </c>
      <c r="AI4" s="4">
        <v>3.14966808780799E-3</v>
      </c>
      <c r="AJ4" s="4">
        <v>6.0401513698560604E-3</v>
      </c>
      <c r="AK4" s="4">
        <v>3.2981621373857298E-3</v>
      </c>
      <c r="AL4" s="4">
        <v>4.4467921171762702E-3</v>
      </c>
      <c r="AM4" s="4">
        <v>2.3755396078751E-2</v>
      </c>
      <c r="AN4" s="1">
        <v>1.5936059023030601E-3</v>
      </c>
      <c r="AO4" s="1">
        <v>0</v>
      </c>
      <c r="AP4" s="1">
        <v>1.5749020255092599E-2</v>
      </c>
      <c r="AQ4" s="1">
        <v>0</v>
      </c>
      <c r="AR4" s="1">
        <v>0</v>
      </c>
      <c r="AS4" s="1">
        <v>4.4838415040089202E-3</v>
      </c>
      <c r="AT4" s="1">
        <v>0</v>
      </c>
    </row>
    <row r="5" spans="1:46" x14ac:dyDescent="0.2">
      <c r="A5" s="30" t="s">
        <v>2</v>
      </c>
      <c r="B5">
        <v>12</v>
      </c>
      <c r="C5" s="4">
        <v>0.316377613760284</v>
      </c>
      <c r="D5" s="1">
        <v>0.58566186011598498</v>
      </c>
      <c r="E5" s="1">
        <v>4.1834412251323803E-2</v>
      </c>
      <c r="F5" s="1">
        <v>1.53989204815481E-2</v>
      </c>
      <c r="G5" s="1">
        <v>1.8622140599823299E-3</v>
      </c>
      <c r="H5" s="1">
        <v>1.3286796458812001E-2</v>
      </c>
      <c r="I5" s="1">
        <v>2.55781828720648E-2</v>
      </c>
      <c r="J5" s="4">
        <v>0.23484239310470001</v>
      </c>
      <c r="K5" s="1">
        <v>8.1535220655584301E-2</v>
      </c>
      <c r="L5" s="1">
        <v>0</v>
      </c>
      <c r="M5" s="4">
        <v>7.2096734935443704E-2</v>
      </c>
      <c r="N5" s="1">
        <v>5.1455007452652302E-2</v>
      </c>
      <c r="O5" s="1">
        <v>7.3091340677390402E-3</v>
      </c>
      <c r="P5" s="1">
        <v>8.9912852572963303E-2</v>
      </c>
      <c r="Q5" s="1">
        <v>0</v>
      </c>
      <c r="R5" s="1">
        <v>1.40686640759012E-2</v>
      </c>
      <c r="S5" s="4">
        <v>2.7788252700690201E-3</v>
      </c>
      <c r="T5" s="43">
        <v>1.9203779914530199E-2</v>
      </c>
      <c r="U5" s="43">
        <v>2.06760123567967E-2</v>
      </c>
      <c r="V5" s="4">
        <v>5.5601892011350199E-5</v>
      </c>
      <c r="W5" s="4">
        <v>4.4476059531242196E-3</v>
      </c>
      <c r="X5" s="4">
        <v>9.0081937312648797E-3</v>
      </c>
      <c r="Y5" s="4">
        <v>1.5926715817647302E-2</v>
      </c>
      <c r="Z5" s="1">
        <v>1.4171764234401001E-3</v>
      </c>
      <c r="AA5" s="1">
        <v>1.9981882121727201E-2</v>
      </c>
      <c r="AB5" s="1">
        <v>2.01757342638395E-2</v>
      </c>
      <c r="AC5" s="1">
        <v>0</v>
      </c>
      <c r="AD5" s="1">
        <v>4.4476059531242196E-3</v>
      </c>
      <c r="AE5" s="1">
        <v>9.0081937312648797E-3</v>
      </c>
      <c r="AF5" s="1">
        <v>1.7066142442047801E-2</v>
      </c>
      <c r="AG5" s="4">
        <v>4.1683908603732797E-3</v>
      </c>
      <c r="AH5" s="4">
        <v>2.7805583361138901E-5</v>
      </c>
      <c r="AI5" s="4">
        <v>6.4472344703968799E-3</v>
      </c>
      <c r="AJ5" s="4">
        <v>6.5595241257622398E-3</v>
      </c>
      <c r="AK5" s="4">
        <v>5.4188912065160303E-3</v>
      </c>
      <c r="AL5" s="4">
        <v>1.0116915573823E-2</v>
      </c>
      <c r="AM5" s="4">
        <v>2.7777777777777799E-5</v>
      </c>
      <c r="AN5" s="1">
        <v>3.8071314404430402E-3</v>
      </c>
      <c r="AO5" s="1">
        <v>0</v>
      </c>
      <c r="AP5" s="1">
        <v>1.9981882121727201E-2</v>
      </c>
      <c r="AQ5" s="1">
        <v>0</v>
      </c>
      <c r="AR5" s="1">
        <v>0</v>
      </c>
      <c r="AS5" s="1">
        <v>1.01450827411386E-2</v>
      </c>
      <c r="AT5" s="1">
        <v>0</v>
      </c>
    </row>
    <row r="6" spans="1:46" x14ac:dyDescent="0.2">
      <c r="A6" s="31" t="s">
        <v>3</v>
      </c>
      <c r="B6" s="33">
        <v>4</v>
      </c>
      <c r="C6" s="27">
        <v>0.95790394517577004</v>
      </c>
      <c r="D6" s="28">
        <v>4.19732047013796E-2</v>
      </c>
      <c r="E6" s="28">
        <v>0</v>
      </c>
      <c r="F6" s="28">
        <v>0</v>
      </c>
      <c r="G6" s="28">
        <v>1.2285012285012301E-4</v>
      </c>
      <c r="H6" s="28">
        <v>0</v>
      </c>
      <c r="I6" s="28">
        <v>0</v>
      </c>
      <c r="J6" s="27">
        <v>0.95234863509416401</v>
      </c>
      <c r="K6" s="28">
        <v>5.5553100816060699E-3</v>
      </c>
      <c r="L6" s="28">
        <v>2.7755575615629E-17</v>
      </c>
      <c r="M6" s="27">
        <v>0.31345280842842499</v>
      </c>
      <c r="N6" s="28">
        <v>0.17595131668821901</v>
      </c>
      <c r="O6" s="28">
        <v>0.134561097203169</v>
      </c>
      <c r="P6" s="28">
        <v>1.2285012285012301E-4</v>
      </c>
      <c r="Q6" s="28">
        <v>0.27172905998621999</v>
      </c>
      <c r="R6" s="28">
        <v>5.6531502665280599E-2</v>
      </c>
      <c r="S6" s="27">
        <v>6.9387677199108603E-3</v>
      </c>
      <c r="T6" s="27">
        <v>3.9718562998130202E-2</v>
      </c>
      <c r="U6" s="27">
        <v>0.20162430306073501</v>
      </c>
      <c r="V6" s="27">
        <v>1.2285012285012301E-4</v>
      </c>
      <c r="W6" s="27">
        <v>3.2394398847583397E-2</v>
      </c>
      <c r="X6" s="27">
        <v>1.0119350099139999E-2</v>
      </c>
      <c r="Y6" s="27">
        <v>2.2534575580074899E-2</v>
      </c>
      <c r="Z6" s="28">
        <v>6.5751375692885E-3</v>
      </c>
      <c r="AA6" s="28">
        <v>3.9977356568506199E-2</v>
      </c>
      <c r="AB6" s="28">
        <v>0.20286596747847099</v>
      </c>
      <c r="AC6" s="28">
        <v>0</v>
      </c>
      <c r="AD6" s="28">
        <v>3.2394398847583397E-2</v>
      </c>
      <c r="AE6" s="28">
        <v>1.0119350099139999E-2</v>
      </c>
      <c r="AF6" s="28">
        <v>2.1520597865435101E-2</v>
      </c>
      <c r="AG6" s="27">
        <v>1.32392415442432E-2</v>
      </c>
      <c r="AH6" s="27">
        <v>0</v>
      </c>
      <c r="AI6" s="27">
        <v>3.7017341751134601E-2</v>
      </c>
      <c r="AJ6" s="27">
        <v>2.4735345438991301E-3</v>
      </c>
      <c r="AK6" s="27">
        <v>2.27686703096539E-4</v>
      </c>
      <c r="AL6" s="27">
        <v>0.1497680642682</v>
      </c>
      <c r="AM6" s="27">
        <v>0</v>
      </c>
      <c r="AN6" s="28">
        <v>1.3596345798944901E-2</v>
      </c>
      <c r="AO6" s="28">
        <v>0</v>
      </c>
      <c r="AP6" s="28">
        <v>3.9977356568506199E-2</v>
      </c>
      <c r="AQ6" s="28">
        <v>0</v>
      </c>
      <c r="AR6" s="28">
        <v>0</v>
      </c>
      <c r="AS6" s="28">
        <v>0.14876144380831099</v>
      </c>
      <c r="AT6" s="28">
        <v>0</v>
      </c>
    </row>
    <row r="7" spans="1:46" x14ac:dyDescent="0.2">
      <c r="A7" s="32" t="s">
        <v>4</v>
      </c>
      <c r="B7" s="22">
        <v>101</v>
      </c>
      <c r="C7" s="23">
        <v>0.55347194719472004</v>
      </c>
      <c r="D7" s="24">
        <v>0.15671947194719499</v>
      </c>
      <c r="E7" s="24">
        <v>2.5897689768976901E-2</v>
      </c>
      <c r="F7" s="24">
        <v>9.9584158415841603E-2</v>
      </c>
      <c r="G7" s="24">
        <v>1.5049504950495E-3</v>
      </c>
      <c r="H7" s="24">
        <v>0.133749174917492</v>
      </c>
      <c r="I7" s="24">
        <v>2.9072607260726E-2</v>
      </c>
      <c r="J7" s="23">
        <v>0.449689768976898</v>
      </c>
      <c r="K7" s="24">
        <v>0.103686468646865</v>
      </c>
      <c r="L7" s="24">
        <v>9.5709570957099404E-5</v>
      </c>
      <c r="M7" s="23">
        <v>0.157927392739274</v>
      </c>
      <c r="N7" s="24">
        <v>0.11430363036303599</v>
      </c>
      <c r="O7" s="24">
        <v>0.158597359735974</v>
      </c>
      <c r="P7" s="24">
        <v>2.8943894389439001E-3</v>
      </c>
      <c r="Q7" s="24">
        <v>2.3102310231023101E-5</v>
      </c>
      <c r="R7" s="24">
        <v>1.5943894389438901E-2</v>
      </c>
      <c r="S7" s="40">
        <v>2.2511551155115501E-2</v>
      </c>
      <c r="T7" s="38">
        <v>0.11724422442244201</v>
      </c>
      <c r="U7" s="38">
        <v>6.6567656765676598E-3</v>
      </c>
      <c r="V7" s="23">
        <v>1.02310231023102E-4</v>
      </c>
      <c r="W7" s="40">
        <v>1.6600660066006601E-3</v>
      </c>
      <c r="X7" s="23">
        <v>2E-3</v>
      </c>
      <c r="Y7" s="23">
        <v>7.7524752475247498E-3</v>
      </c>
      <c r="Z7" s="24">
        <v>2.2432343234323401E-2</v>
      </c>
      <c r="AA7" s="24">
        <v>0.12163366336633701</v>
      </c>
      <c r="AB7" s="24">
        <v>6.6138613861386102E-3</v>
      </c>
      <c r="AC7" s="24">
        <v>0</v>
      </c>
      <c r="AD7" s="24">
        <v>1.6600660066006601E-3</v>
      </c>
      <c r="AE7" s="24">
        <v>2E-3</v>
      </c>
      <c r="AF7" s="24">
        <v>3.5874587458745799E-3</v>
      </c>
      <c r="AG7" s="23">
        <v>2.1782178217821799E-4</v>
      </c>
      <c r="AH7" s="23">
        <v>0</v>
      </c>
      <c r="AI7" s="23">
        <v>9.9871287128712793E-2</v>
      </c>
      <c r="AJ7" s="23">
        <v>1.02409240924092E-2</v>
      </c>
      <c r="AK7" s="23">
        <v>5.6468646864686499E-3</v>
      </c>
      <c r="AL7" s="23">
        <v>6.3399339933993401E-3</v>
      </c>
      <c r="AM7" s="23">
        <v>5.05610561056106E-3</v>
      </c>
      <c r="AN7" s="24">
        <v>2.2772277227722801E-4</v>
      </c>
      <c r="AO7" s="24">
        <v>0</v>
      </c>
      <c r="AP7" s="24">
        <v>0.12163366336633701</v>
      </c>
      <c r="AQ7" s="24">
        <v>0</v>
      </c>
      <c r="AR7" s="24">
        <v>0</v>
      </c>
      <c r="AS7" s="24">
        <v>6.3795379537953797E-3</v>
      </c>
      <c r="AT7" s="25">
        <v>0</v>
      </c>
    </row>
    <row r="8" spans="1:46" x14ac:dyDescent="0.2">
      <c r="A8" s="32" t="s">
        <v>5</v>
      </c>
      <c r="B8" s="22">
        <v>539</v>
      </c>
      <c r="C8" s="23">
        <v>0.73085258460940095</v>
      </c>
      <c r="D8" s="24">
        <v>1.5547394454197699E-3</v>
      </c>
      <c r="E8" s="24">
        <v>5.2872454963630397E-2</v>
      </c>
      <c r="F8" s="24">
        <v>8.1462435679512404E-2</v>
      </c>
      <c r="G8" s="24">
        <v>8.3655106276456295E-3</v>
      </c>
      <c r="H8" s="24">
        <v>6.3481351792205903E-2</v>
      </c>
      <c r="I8" s="24">
        <v>6.1410922882184901E-2</v>
      </c>
      <c r="J8" s="23">
        <v>0.51211221010933095</v>
      </c>
      <c r="K8" s="24">
        <v>0.218466405417402</v>
      </c>
      <c r="L8" s="24">
        <v>2.7396908266804802E-4</v>
      </c>
      <c r="M8" s="23">
        <v>0.31542678230961702</v>
      </c>
      <c r="N8" s="24">
        <v>9.9965152595984597E-2</v>
      </c>
      <c r="O8" s="24">
        <v>6.1147445193790097E-2</v>
      </c>
      <c r="P8" s="24">
        <v>8.0340791941392303E-3</v>
      </c>
      <c r="Q8" s="24">
        <v>5.3185736000918197E-5</v>
      </c>
      <c r="R8" s="24">
        <v>2.74855650797989E-2</v>
      </c>
      <c r="S8" s="40">
        <v>3.9985237721729502E-2</v>
      </c>
      <c r="T8" s="38">
        <v>0.18770398731467999</v>
      </c>
      <c r="U8" s="38">
        <v>5.5517883504615201E-2</v>
      </c>
      <c r="V8" s="23">
        <v>8.5998950809496599E-3</v>
      </c>
      <c r="W8" s="40">
        <v>3.6580563247333299E-3</v>
      </c>
      <c r="X8" s="23">
        <v>1.41991672095413E-3</v>
      </c>
      <c r="Y8" s="23">
        <v>1.8541805641955601E-2</v>
      </c>
      <c r="Z8" s="24">
        <v>6.0514051186043097E-2</v>
      </c>
      <c r="AA8" s="24">
        <v>0.18639477065694501</v>
      </c>
      <c r="AB8" s="24">
        <v>5.6489446079079297E-2</v>
      </c>
      <c r="AC8" s="24">
        <v>9.8887178059586908E-4</v>
      </c>
      <c r="AD8" s="24">
        <v>3.6580563247333299E-3</v>
      </c>
      <c r="AE8" s="24">
        <v>1.41991672095413E-3</v>
      </c>
      <c r="AF8" s="24">
        <v>5.9616695612669402E-3</v>
      </c>
      <c r="AG8" s="23">
        <v>5.9926160008837398E-4</v>
      </c>
      <c r="AH8" s="23">
        <v>3.8652154304990899E-4</v>
      </c>
      <c r="AI8" s="23">
        <v>0.1752147246197</v>
      </c>
      <c r="AJ8" s="23">
        <v>1.2275284957192E-2</v>
      </c>
      <c r="AK8" s="23">
        <v>9.8948670377242001E-6</v>
      </c>
      <c r="AL8" s="23">
        <v>5.3011995219844898E-2</v>
      </c>
      <c r="AM8" s="23">
        <v>2.2226425528100802E-3</v>
      </c>
      <c r="AN8" s="24">
        <v>5.5287941084904298E-4</v>
      </c>
      <c r="AO8" s="24">
        <v>0</v>
      </c>
      <c r="AP8" s="24">
        <v>0.18639477065694501</v>
      </c>
      <c r="AQ8" s="24">
        <v>0</v>
      </c>
      <c r="AR8" s="24">
        <v>0</v>
      </c>
      <c r="AS8" s="24">
        <v>5.58518418692198E-2</v>
      </c>
      <c r="AT8" s="25">
        <v>0</v>
      </c>
    </row>
    <row r="9" spans="1:46" x14ac:dyDescent="0.2">
      <c r="A9" s="32" t="s">
        <v>6</v>
      </c>
      <c r="B9" s="22">
        <v>294</v>
      </c>
      <c r="C9" s="23">
        <v>0.63927803970101804</v>
      </c>
      <c r="D9" s="24">
        <v>5.5102078621823303E-4</v>
      </c>
      <c r="E9" s="24">
        <v>0.107933854094291</v>
      </c>
      <c r="F9" s="24">
        <v>0.193653915530105</v>
      </c>
      <c r="G9" s="24">
        <v>4.7312978102807598E-3</v>
      </c>
      <c r="H9" s="24">
        <v>3.10205253880478E-3</v>
      </c>
      <c r="I9" s="24">
        <v>5.07498195392821E-2</v>
      </c>
      <c r="J9" s="23">
        <v>0.37831995680886199</v>
      </c>
      <c r="K9" s="24">
        <v>0.26090933005769001</v>
      </c>
      <c r="L9" s="24">
        <v>4.8752834467122799E-5</v>
      </c>
      <c r="M9" s="23">
        <v>0.13704298804273801</v>
      </c>
      <c r="N9" s="24">
        <v>0.209982889921943</v>
      </c>
      <c r="O9" s="24">
        <v>2.0918764014619302E-2</v>
      </c>
      <c r="P9" s="24">
        <v>1.7018284268111199E-3</v>
      </c>
      <c r="Q9" s="24">
        <v>1.62585147430096E-3</v>
      </c>
      <c r="R9" s="24">
        <v>7.04763492844973E-3</v>
      </c>
      <c r="S9" s="40">
        <v>3.4240362811791399E-4</v>
      </c>
      <c r="T9" s="38">
        <v>2.7546900454406002E-2</v>
      </c>
      <c r="U9" s="38">
        <v>8.0754547130524199E-2</v>
      </c>
      <c r="V9" s="23">
        <v>5.7823204862694202E-4</v>
      </c>
      <c r="W9" s="40">
        <v>2.0641759654077899E-2</v>
      </c>
      <c r="X9" s="23">
        <v>1.7505668934240401E-3</v>
      </c>
      <c r="Y9" s="23">
        <v>5.4285782335608502E-3</v>
      </c>
      <c r="Z9" s="24">
        <v>1.88435563177144E-3</v>
      </c>
      <c r="AA9" s="24">
        <v>2.7195421615780101E-2</v>
      </c>
      <c r="AB9" s="24">
        <v>8.1711463230297404E-2</v>
      </c>
      <c r="AC9" s="24">
        <v>2.63038926807802E-4</v>
      </c>
      <c r="AD9" s="24">
        <v>2.0641759654077899E-2</v>
      </c>
      <c r="AE9" s="24">
        <v>1.7505668934240401E-3</v>
      </c>
      <c r="AF9" s="24">
        <v>3.5963820905791101E-3</v>
      </c>
      <c r="AG9" s="23">
        <v>1.2902517019407901E-3</v>
      </c>
      <c r="AH9" s="23">
        <v>0</v>
      </c>
      <c r="AI9" s="23">
        <v>2.4380206185943599E-2</v>
      </c>
      <c r="AJ9" s="23">
        <v>2.9195257106384102E-3</v>
      </c>
      <c r="AK9" s="23">
        <v>1.7347241269925301E-4</v>
      </c>
      <c r="AL9" s="23">
        <v>7.7747716805370196E-2</v>
      </c>
      <c r="AM9" s="23">
        <v>4.3083900226757302E-5</v>
      </c>
      <c r="AN9" s="24">
        <v>1.1337891169067799E-3</v>
      </c>
      <c r="AO9" s="24">
        <v>0</v>
      </c>
      <c r="AP9" s="24">
        <v>2.7195421615780101E-2</v>
      </c>
      <c r="AQ9" s="24">
        <v>0</v>
      </c>
      <c r="AR9" s="24">
        <v>0</v>
      </c>
      <c r="AS9" s="24">
        <v>8.0220531256247798E-2</v>
      </c>
      <c r="AT9" s="25">
        <v>0</v>
      </c>
    </row>
    <row r="10" spans="1:46" x14ac:dyDescent="0.2">
      <c r="A10" s="32" t="s">
        <v>7</v>
      </c>
      <c r="B10" s="22">
        <v>80</v>
      </c>
      <c r="C10" s="23">
        <v>0.25118930362318997</v>
      </c>
      <c r="D10" s="24">
        <v>0.47531036615396299</v>
      </c>
      <c r="E10" s="24">
        <v>0.133129320874326</v>
      </c>
      <c r="F10" s="24">
        <v>0.118774970716788</v>
      </c>
      <c r="G10" s="24">
        <v>3.37927736714436E-3</v>
      </c>
      <c r="H10" s="24">
        <v>2.3057250241981502E-3</v>
      </c>
      <c r="I10" s="24">
        <v>1.59110362403912E-2</v>
      </c>
      <c r="J10" s="23">
        <v>0.16658054306273501</v>
      </c>
      <c r="K10" s="24">
        <v>8.4425290896142799E-2</v>
      </c>
      <c r="L10" s="24">
        <v>1.8346966431232901E-4</v>
      </c>
      <c r="M10" s="23">
        <v>6.7656778151073904E-2</v>
      </c>
      <c r="N10" s="24">
        <v>5.6193703294529197E-2</v>
      </c>
      <c r="O10" s="24">
        <v>1.83341730169077E-2</v>
      </c>
      <c r="P10" s="24">
        <v>2.2648755479891699E-2</v>
      </c>
      <c r="Q10" s="24">
        <v>5.0090709274913802E-5</v>
      </c>
      <c r="R10" s="24">
        <v>1.69704241105752E-3</v>
      </c>
      <c r="S10" s="40">
        <v>1.3381718386227899E-3</v>
      </c>
      <c r="T10" s="38">
        <v>5.1529195355229603E-2</v>
      </c>
      <c r="U10" s="38">
        <v>1.06594601789107E-2</v>
      </c>
      <c r="V10" s="23">
        <v>4.16944629753168E-6</v>
      </c>
      <c r="W10" s="40">
        <v>3.6169031539781001E-3</v>
      </c>
      <c r="X10" s="23">
        <v>4.5848628264697E-5</v>
      </c>
      <c r="Y10" s="23">
        <v>4.6302954977049503E-4</v>
      </c>
      <c r="Z10" s="24">
        <v>1.2797659105251099E-3</v>
      </c>
      <c r="AA10" s="24">
        <v>5.1537545377481397E-2</v>
      </c>
      <c r="AB10" s="24">
        <v>1.06636268455774E-2</v>
      </c>
      <c r="AC10" s="24">
        <v>0</v>
      </c>
      <c r="AD10" s="24">
        <v>3.6169031539781001E-3</v>
      </c>
      <c r="AE10" s="24">
        <v>4.5848628264697E-5</v>
      </c>
      <c r="AF10" s="24">
        <v>5.1308823524714997E-4</v>
      </c>
      <c r="AG10" s="23">
        <v>5.8384814554343601E-5</v>
      </c>
      <c r="AH10" s="23">
        <v>4.16944629753168E-6</v>
      </c>
      <c r="AI10" s="23">
        <v>4.9377594054337899E-2</v>
      </c>
      <c r="AJ10" s="23">
        <v>1.9973008402387402E-3</v>
      </c>
      <c r="AK10" s="23">
        <v>1.4596434861554301E-4</v>
      </c>
      <c r="AL10" s="23">
        <v>1.0601075364356401E-2</v>
      </c>
      <c r="AM10" s="23">
        <v>0</v>
      </c>
      <c r="AN10" s="24">
        <v>5.8384814554343601E-5</v>
      </c>
      <c r="AO10" s="24">
        <v>0</v>
      </c>
      <c r="AP10" s="24">
        <v>5.1537545377481397E-2</v>
      </c>
      <c r="AQ10" s="24">
        <v>0</v>
      </c>
      <c r="AR10" s="24">
        <v>0</v>
      </c>
      <c r="AS10" s="24">
        <v>1.0601075364356401E-2</v>
      </c>
      <c r="AT10" s="25">
        <v>0</v>
      </c>
    </row>
    <row r="11" spans="1:46" x14ac:dyDescent="0.2">
      <c r="A11" s="32" t="s">
        <v>8</v>
      </c>
      <c r="B11" s="22">
        <v>24</v>
      </c>
      <c r="C11" s="23">
        <v>0.87102137801998503</v>
      </c>
      <c r="D11" s="24">
        <v>8.7275916007609006E-2</v>
      </c>
      <c r="E11" s="24">
        <v>1.8318921382930199E-3</v>
      </c>
      <c r="F11" s="24">
        <v>1.6035588661286999E-3</v>
      </c>
      <c r="G11" s="24">
        <v>3.4195191070245101E-2</v>
      </c>
      <c r="H11" s="24">
        <v>0</v>
      </c>
      <c r="I11" s="24">
        <v>4.0720638977393697E-3</v>
      </c>
      <c r="J11" s="23">
        <v>0.78655045000852897</v>
      </c>
      <c r="K11" s="24">
        <v>8.4470928011456406E-2</v>
      </c>
      <c r="L11" s="24">
        <v>0</v>
      </c>
      <c r="M11" s="23">
        <v>0.40628438250266202</v>
      </c>
      <c r="N11" s="24">
        <v>0.15945518304210601</v>
      </c>
      <c r="O11" s="24">
        <v>0.152459111046061</v>
      </c>
      <c r="P11" s="24">
        <v>5.3696515045893404E-3</v>
      </c>
      <c r="Q11" s="24">
        <v>4.0136041880438199E-2</v>
      </c>
      <c r="R11" s="24">
        <v>2.28460800326712E-2</v>
      </c>
      <c r="S11" s="40">
        <v>1.6013024271291101E-2</v>
      </c>
      <c r="T11" s="38">
        <v>0.104319461264399</v>
      </c>
      <c r="U11" s="38">
        <v>0.117649756993207</v>
      </c>
      <c r="V11" s="23">
        <v>5.8913763452879903E-3</v>
      </c>
      <c r="W11" s="40">
        <v>0.13976985310488599</v>
      </c>
      <c r="X11" s="23">
        <v>1.1369321069203501E-2</v>
      </c>
      <c r="Y11" s="23">
        <v>1.12715894543872E-2</v>
      </c>
      <c r="Z11" s="24">
        <v>1.51607534107758E-2</v>
      </c>
      <c r="AA11" s="24">
        <v>0.11489974574647201</v>
      </c>
      <c r="AB11" s="24">
        <v>0.117113965606975</v>
      </c>
      <c r="AC11" s="24">
        <v>0</v>
      </c>
      <c r="AD11" s="24">
        <v>0.13976985310488599</v>
      </c>
      <c r="AE11" s="24">
        <v>1.1369321069203501E-2</v>
      </c>
      <c r="AF11" s="24">
        <v>7.9707435643500395E-3</v>
      </c>
      <c r="AG11" s="23">
        <v>1.04638137717924E-2</v>
      </c>
      <c r="AH11" s="23">
        <v>3.0039454328028301E-4</v>
      </c>
      <c r="AI11" s="23">
        <v>8.5148948004807407E-2</v>
      </c>
      <c r="AJ11" s="23">
        <v>1.8292915307974101E-2</v>
      </c>
      <c r="AK11" s="23">
        <v>3.0297732389978E-4</v>
      </c>
      <c r="AL11" s="23">
        <v>9.7540895938654906E-2</v>
      </c>
      <c r="AM11" s="23">
        <v>4.52161331162958E-5</v>
      </c>
      <c r="AN11" s="24">
        <v>7.77281639119848E-3</v>
      </c>
      <c r="AO11" s="24">
        <v>0</v>
      </c>
      <c r="AP11" s="24">
        <v>0.11489974574647201</v>
      </c>
      <c r="AQ11" s="24">
        <v>0</v>
      </c>
      <c r="AR11" s="24">
        <v>0</v>
      </c>
      <c r="AS11" s="24">
        <v>9.7255486599683194E-2</v>
      </c>
      <c r="AT11" s="25">
        <v>0</v>
      </c>
    </row>
    <row r="12" spans="1:46" x14ac:dyDescent="0.2">
      <c r="A12" s="32" t="s">
        <v>9</v>
      </c>
      <c r="B12" s="22">
        <v>46</v>
      </c>
      <c r="C12" s="23">
        <v>0.32185507246376799</v>
      </c>
      <c r="D12" s="24">
        <v>1.7101449275362299E-3</v>
      </c>
      <c r="E12" s="24">
        <v>0.34925362318840603</v>
      </c>
      <c r="F12" s="24">
        <v>0.201804347826087</v>
      </c>
      <c r="G12" s="24">
        <v>6.9565217391304402E-3</v>
      </c>
      <c r="H12" s="24">
        <v>2.0304347826087001E-2</v>
      </c>
      <c r="I12" s="24">
        <v>9.8115942028985506E-2</v>
      </c>
      <c r="J12" s="23">
        <v>0.22647826086956499</v>
      </c>
      <c r="K12" s="24">
        <v>9.5340579710144896E-2</v>
      </c>
      <c r="L12" s="24">
        <v>3.6231884057973101E-5</v>
      </c>
      <c r="M12" s="23">
        <v>0.13261594202898599</v>
      </c>
      <c r="N12" s="24">
        <v>2.18550724637681E-2</v>
      </c>
      <c r="O12" s="24">
        <v>6.1710144927536202E-2</v>
      </c>
      <c r="P12" s="24">
        <v>2.6086956521739102E-3</v>
      </c>
      <c r="Q12" s="24">
        <v>2.31884057971015E-4</v>
      </c>
      <c r="R12" s="24">
        <v>7.4565217391304303E-3</v>
      </c>
      <c r="S12" s="40">
        <v>2.2028985507246399E-3</v>
      </c>
      <c r="T12" s="38">
        <v>9.6173913043478304E-2</v>
      </c>
      <c r="U12" s="38">
        <v>1.36594202898551E-2</v>
      </c>
      <c r="V12" s="23">
        <v>4.0362318840579704E-3</v>
      </c>
      <c r="W12" s="40">
        <v>5.8695652173913E-4</v>
      </c>
      <c r="X12" s="23">
        <v>5.36231884057971E-4</v>
      </c>
      <c r="Y12" s="23">
        <v>1.5420289855072499E-2</v>
      </c>
      <c r="Z12" s="24">
        <v>1.87753623188406E-2</v>
      </c>
      <c r="AA12" s="24">
        <v>9.4565217391304301E-2</v>
      </c>
      <c r="AB12" s="24">
        <v>1.38478260869565E-2</v>
      </c>
      <c r="AC12" s="24">
        <v>1.1449275362318801E-3</v>
      </c>
      <c r="AD12" s="24">
        <v>5.8695652173913E-4</v>
      </c>
      <c r="AE12" s="24">
        <v>5.36231884057971E-4</v>
      </c>
      <c r="AF12" s="24">
        <v>3.1594202898550701E-3</v>
      </c>
      <c r="AG12" s="23">
        <v>4.6376811594202902E-4</v>
      </c>
      <c r="AH12" s="23">
        <v>3.6231884057971E-5</v>
      </c>
      <c r="AI12" s="23">
        <v>8.6623188405797094E-2</v>
      </c>
      <c r="AJ12" s="23">
        <v>8.5724637681159396E-3</v>
      </c>
      <c r="AK12" s="23">
        <v>2.17391304347826E-5</v>
      </c>
      <c r="AL12" s="23">
        <v>1.3007246376811599E-2</v>
      </c>
      <c r="AM12" s="23">
        <v>5.8695652173913E-4</v>
      </c>
      <c r="AN12" s="24">
        <v>4.2028985507246402E-4</v>
      </c>
      <c r="AO12" s="24">
        <v>0</v>
      </c>
      <c r="AP12" s="24">
        <v>9.4565217391304301E-2</v>
      </c>
      <c r="AQ12" s="24">
        <v>0</v>
      </c>
      <c r="AR12" s="24">
        <v>0</v>
      </c>
      <c r="AS12" s="24">
        <v>1.32608695652174E-2</v>
      </c>
      <c r="AT12" s="25">
        <v>0</v>
      </c>
    </row>
    <row r="13" spans="1:46" x14ac:dyDescent="0.2">
      <c r="A13" s="32" t="s">
        <v>10</v>
      </c>
      <c r="B13" s="22">
        <v>608</v>
      </c>
      <c r="C13" s="23">
        <v>0.69871418590684697</v>
      </c>
      <c r="D13" s="24">
        <v>3.43992905757444E-3</v>
      </c>
      <c r="E13" s="24">
        <v>0.13586259547340901</v>
      </c>
      <c r="F13" s="24">
        <v>2.24784875577645E-2</v>
      </c>
      <c r="G13" s="24">
        <v>1.6047158065859098E-2</v>
      </c>
      <c r="H13" s="24">
        <v>8.4258563096399702E-2</v>
      </c>
      <c r="I13" s="24">
        <v>3.9199080842145899E-2</v>
      </c>
      <c r="J13" s="23">
        <v>0.55647696971539296</v>
      </c>
      <c r="K13" s="24">
        <v>0.142169749421201</v>
      </c>
      <c r="L13" s="24">
        <v>6.7466770253270705E-5</v>
      </c>
      <c r="M13" s="23">
        <v>0.36312878962691397</v>
      </c>
      <c r="N13" s="24">
        <v>6.9448436913005299E-2</v>
      </c>
      <c r="O13" s="24">
        <v>6.0788732514561898E-2</v>
      </c>
      <c r="P13" s="24">
        <v>5.5093853432421304E-3</v>
      </c>
      <c r="Q13" s="24">
        <v>4.5516278955420398E-5</v>
      </c>
      <c r="R13" s="24">
        <v>5.7556109038714102E-2</v>
      </c>
      <c r="S13" s="40">
        <v>5.0101531428661701E-2</v>
      </c>
      <c r="T13" s="38">
        <v>0.19670885665121501</v>
      </c>
      <c r="U13" s="38">
        <v>6.35796302290908E-2</v>
      </c>
      <c r="V13" s="23">
        <v>3.4903404000934299E-3</v>
      </c>
      <c r="W13" s="40">
        <v>2.9058585378320899E-3</v>
      </c>
      <c r="X13" s="23">
        <v>1.48638235411952E-3</v>
      </c>
      <c r="Y13" s="23">
        <v>4.4856190025901799E-2</v>
      </c>
      <c r="Z13" s="24">
        <v>7.5336842475286603E-2</v>
      </c>
      <c r="AA13" s="24">
        <v>0.20171292716651601</v>
      </c>
      <c r="AB13" s="24">
        <v>6.8180641423385105E-2</v>
      </c>
      <c r="AC13" s="24">
        <v>1.89916712523306E-3</v>
      </c>
      <c r="AD13" s="24">
        <v>2.9058585378320899E-3</v>
      </c>
      <c r="AE13" s="24">
        <v>1.48638235411952E-3</v>
      </c>
      <c r="AF13" s="24">
        <v>1.16069705445423E-2</v>
      </c>
      <c r="AG13" s="23">
        <v>1.1189813716097001E-3</v>
      </c>
      <c r="AH13" s="23">
        <v>1.2814035310678401E-3</v>
      </c>
      <c r="AI13" s="23">
        <v>0.157455949620808</v>
      </c>
      <c r="AJ13" s="23">
        <v>3.6681057020582497E-2</v>
      </c>
      <c r="AK13" s="23">
        <v>5.4824561403508704E-7</v>
      </c>
      <c r="AL13" s="23">
        <v>5.8660863906360501E-2</v>
      </c>
      <c r="AM13" s="23">
        <v>2.0307862790890301E-2</v>
      </c>
      <c r="AN13" s="24">
        <v>1.07292654191643E-3</v>
      </c>
      <c r="AO13" s="24">
        <v>0</v>
      </c>
      <c r="AP13" s="24">
        <v>0.20171292716651601</v>
      </c>
      <c r="AQ13" s="24">
        <v>0</v>
      </c>
      <c r="AR13" s="24">
        <v>0</v>
      </c>
      <c r="AS13" s="24">
        <v>6.6458582194562202E-2</v>
      </c>
      <c r="AT13" s="25">
        <v>0</v>
      </c>
    </row>
    <row r="14" spans="1:46" x14ac:dyDescent="0.2">
      <c r="A14" s="32" t="s">
        <v>11</v>
      </c>
      <c r="B14" s="26">
        <v>8</v>
      </c>
      <c r="C14" s="27">
        <v>0.41921499007486002</v>
      </c>
      <c r="D14" s="28">
        <v>0.50732533632092902</v>
      </c>
      <c r="E14" s="28">
        <v>9.2613145615819594E-3</v>
      </c>
      <c r="F14" s="28">
        <v>5.8356360690861198E-2</v>
      </c>
      <c r="G14" s="28">
        <v>1.5856633255194499E-3</v>
      </c>
      <c r="H14" s="28">
        <v>1.2523716727463001E-4</v>
      </c>
      <c r="I14" s="28">
        <v>4.1310978589736104E-3</v>
      </c>
      <c r="J14" s="27">
        <v>0.308188607955863</v>
      </c>
      <c r="K14" s="28">
        <v>0.11098450607209701</v>
      </c>
      <c r="L14" s="28">
        <v>4.1876046901175398E-5</v>
      </c>
      <c r="M14" s="27">
        <v>0.144384517899043</v>
      </c>
      <c r="N14" s="28">
        <v>0.117821798709564</v>
      </c>
      <c r="O14" s="28">
        <v>6.2168425907463297E-3</v>
      </c>
      <c r="P14" s="28">
        <v>3.9014262920135899E-2</v>
      </c>
      <c r="Q14" s="28">
        <v>0</v>
      </c>
      <c r="R14" s="28">
        <v>7.5118583637313603E-4</v>
      </c>
      <c r="S14" s="41">
        <v>1.2502778704012401E-4</v>
      </c>
      <c r="T14" s="39">
        <v>2.04555630771396E-2</v>
      </c>
      <c r="U14" s="39">
        <v>0.11661760934549401</v>
      </c>
      <c r="V14" s="27">
        <v>0</v>
      </c>
      <c r="W14" s="41">
        <v>5.5585550431941797E-3</v>
      </c>
      <c r="X14" s="27">
        <v>4.1876046901172497E-5</v>
      </c>
      <c r="Y14" s="27">
        <v>1.5858865992740201E-3</v>
      </c>
      <c r="Z14" s="28">
        <v>5.4236427497049498E-4</v>
      </c>
      <c r="AA14" s="28">
        <v>2.04555630771396E-2</v>
      </c>
      <c r="AB14" s="28">
        <v>0.117410699015808</v>
      </c>
      <c r="AC14" s="28">
        <v>0</v>
      </c>
      <c r="AD14" s="28">
        <v>5.5585550431941797E-3</v>
      </c>
      <c r="AE14" s="28">
        <v>4.1876046901172497E-5</v>
      </c>
      <c r="AF14" s="28">
        <v>3.7546044102919498E-4</v>
      </c>
      <c r="AG14" s="27">
        <v>0</v>
      </c>
      <c r="AH14" s="27">
        <v>0</v>
      </c>
      <c r="AI14" s="27">
        <v>2.0121336648787999E-2</v>
      </c>
      <c r="AJ14" s="27">
        <v>3.34226428351606E-4</v>
      </c>
      <c r="AK14" s="27">
        <v>0</v>
      </c>
      <c r="AL14" s="27">
        <v>0.110062993778496</v>
      </c>
      <c r="AM14" s="27">
        <v>4.1666666666666598E-5</v>
      </c>
      <c r="AN14" s="28">
        <v>0</v>
      </c>
      <c r="AO14" s="28">
        <v>0</v>
      </c>
      <c r="AP14" s="28">
        <v>2.04555630771396E-2</v>
      </c>
      <c r="AQ14" s="28">
        <v>0</v>
      </c>
      <c r="AR14" s="28">
        <v>0</v>
      </c>
      <c r="AS14" s="28">
        <v>0.117410699015808</v>
      </c>
      <c r="AT14" s="29">
        <v>0</v>
      </c>
    </row>
    <row r="15" spans="1:46" x14ac:dyDescent="0.2">
      <c r="A15" s="30" t="s">
        <v>12</v>
      </c>
      <c r="B15">
        <v>39</v>
      </c>
      <c r="C15" s="4">
        <v>0.38253983459548102</v>
      </c>
      <c r="D15" s="1">
        <v>0.16268056966248901</v>
      </c>
      <c r="E15" s="1">
        <v>3.1199155337101301E-2</v>
      </c>
      <c r="F15" s="1">
        <v>4.7874183757775801E-2</v>
      </c>
      <c r="G15" s="1">
        <v>2.1465886062657698E-3</v>
      </c>
      <c r="H15" s="1">
        <v>2.0864102957468302E-2</v>
      </c>
      <c r="I15" s="1">
        <v>0.35269556508341798</v>
      </c>
      <c r="J15" s="4">
        <v>0.34333390251825702</v>
      </c>
      <c r="K15" s="1">
        <v>2.88222147423794E-2</v>
      </c>
      <c r="L15" s="1">
        <v>1.03837173348445E-2</v>
      </c>
      <c r="M15" s="4">
        <v>8.3781418116262593E-2</v>
      </c>
      <c r="N15" s="1">
        <v>3.7891195162361203E-2</v>
      </c>
      <c r="O15" s="1">
        <v>2.4821276811304398E-2</v>
      </c>
      <c r="P15" s="1">
        <v>0.180796530519236</v>
      </c>
      <c r="Q15" s="1">
        <v>0</v>
      </c>
      <c r="R15" s="1">
        <v>1.6043481909093601E-2</v>
      </c>
      <c r="S15" s="4">
        <v>5.9317607635821796E-3</v>
      </c>
      <c r="T15" s="4">
        <v>4.4223989670189097E-2</v>
      </c>
      <c r="U15" s="4">
        <v>1.22055900039564E-2</v>
      </c>
      <c r="V15" s="4">
        <v>0</v>
      </c>
      <c r="W15" s="4">
        <v>1.8975214226381999E-3</v>
      </c>
      <c r="X15" s="4">
        <v>3.1284844996322301E-3</v>
      </c>
      <c r="Y15" s="4">
        <v>1.6394071756264499E-2</v>
      </c>
      <c r="Z15" s="1">
        <v>6.0001396819110804E-3</v>
      </c>
      <c r="AA15" s="1">
        <v>5.4275844717891999E-2</v>
      </c>
      <c r="AB15" s="1">
        <v>1.2308154106520501E-2</v>
      </c>
      <c r="AC15" s="1">
        <v>0</v>
      </c>
      <c r="AD15" s="1">
        <v>1.8975214226381999E-3</v>
      </c>
      <c r="AE15" s="1">
        <v>3.1284844996322301E-3</v>
      </c>
      <c r="AF15" s="1">
        <v>6.1712736876686301E-3</v>
      </c>
      <c r="AG15" s="4">
        <v>4.8805870276189198E-3</v>
      </c>
      <c r="AH15" s="4">
        <v>0</v>
      </c>
      <c r="AI15" s="4">
        <v>2.9009573259641298E-2</v>
      </c>
      <c r="AJ15" s="4">
        <v>1.19920630524706E-2</v>
      </c>
      <c r="AK15" s="4">
        <v>2.1112365470604901E-3</v>
      </c>
      <c r="AL15" s="4">
        <v>7.0514958528803901E-3</v>
      </c>
      <c r="AM15" s="4">
        <v>0</v>
      </c>
      <c r="AN15" s="1">
        <v>4.8805870276189198E-3</v>
      </c>
      <c r="AO15" s="1">
        <v>0</v>
      </c>
      <c r="AP15" s="1">
        <v>5.4275844717891999E-2</v>
      </c>
      <c r="AQ15" s="1">
        <v>0</v>
      </c>
      <c r="AR15" s="1">
        <v>0</v>
      </c>
      <c r="AS15" s="1">
        <v>6.9745727759573098E-3</v>
      </c>
      <c r="AT15" s="1">
        <v>0</v>
      </c>
    </row>
    <row r="16" spans="1:46" x14ac:dyDescent="0.2">
      <c r="A16" s="30" t="s">
        <v>13</v>
      </c>
      <c r="B16">
        <v>47</v>
      </c>
      <c r="C16" s="4">
        <v>0.48101418439716298</v>
      </c>
      <c r="D16" s="1">
        <v>0.33636170212765998</v>
      </c>
      <c r="E16" s="1">
        <v>1.3234042553191499E-2</v>
      </c>
      <c r="F16" s="1">
        <v>3.4624113475177298E-2</v>
      </c>
      <c r="G16" s="1">
        <v>9.5035460992907701E-4</v>
      </c>
      <c r="H16" s="1">
        <v>8.0921985815602795E-2</v>
      </c>
      <c r="I16" s="1">
        <v>5.2893617021276602E-2</v>
      </c>
      <c r="J16" s="4">
        <v>0.22910638297872299</v>
      </c>
      <c r="K16" s="1">
        <v>0.25190780141843999</v>
      </c>
      <c r="L16" s="1">
        <v>-7.6770741064505493E-18</v>
      </c>
      <c r="M16" s="4">
        <v>7.7907801418439698E-2</v>
      </c>
      <c r="N16" s="1">
        <v>2.7914893617021298E-2</v>
      </c>
      <c r="O16" s="1">
        <v>8.1475177304964494E-2</v>
      </c>
      <c r="P16" s="1">
        <v>4.3829787234042497E-3</v>
      </c>
      <c r="Q16" s="1">
        <v>0</v>
      </c>
      <c r="R16" s="1">
        <v>3.7425531914893603E-2</v>
      </c>
      <c r="S16" s="4">
        <v>2.7730496453900699E-2</v>
      </c>
      <c r="T16" s="4">
        <v>2.8063829787233999E-2</v>
      </c>
      <c r="U16" s="4">
        <v>6.0567375886524796E-3</v>
      </c>
      <c r="V16" s="4">
        <v>1.0921985815602799E-3</v>
      </c>
      <c r="W16" s="4">
        <v>1.1560283687943301E-3</v>
      </c>
      <c r="X16" s="4">
        <v>4.2695035460992899E-3</v>
      </c>
      <c r="Y16" s="4">
        <v>9.5390070921985808E-3</v>
      </c>
      <c r="Z16" s="1">
        <v>2.1900709219858101E-2</v>
      </c>
      <c r="AA16" s="1">
        <v>3.1652482269503499E-2</v>
      </c>
      <c r="AB16" s="1">
        <v>5.9787234042553202E-3</v>
      </c>
      <c r="AC16" s="1">
        <v>0</v>
      </c>
      <c r="AD16" s="1">
        <v>1.1560283687943301E-3</v>
      </c>
      <c r="AE16" s="1">
        <v>4.2695035460992899E-3</v>
      </c>
      <c r="AF16" s="1">
        <v>1.2950354609929099E-2</v>
      </c>
      <c r="AG16" s="4">
        <v>1.14184397163121E-3</v>
      </c>
      <c r="AH16" s="4">
        <v>7.0921985815602804E-6</v>
      </c>
      <c r="AI16" s="4">
        <v>1.6482269503546101E-2</v>
      </c>
      <c r="AJ16" s="4">
        <v>2.8297872340425599E-3</v>
      </c>
      <c r="AK16" s="4">
        <v>7.2765957446808598E-3</v>
      </c>
      <c r="AL16" s="4">
        <v>4.8510638297872303E-3</v>
      </c>
      <c r="AM16" s="4">
        <v>4.2907801418439698E-3</v>
      </c>
      <c r="AN16" s="1">
        <v>1.1702127659574499E-3</v>
      </c>
      <c r="AO16" s="1">
        <v>0</v>
      </c>
      <c r="AP16" s="1">
        <v>3.1652482269503499E-2</v>
      </c>
      <c r="AQ16" s="1">
        <v>0</v>
      </c>
      <c r="AR16" s="1">
        <v>0</v>
      </c>
      <c r="AS16" s="1">
        <v>4.79432624113475E-3</v>
      </c>
      <c r="AT16" s="1">
        <v>0</v>
      </c>
    </row>
    <row r="17" spans="1:46" x14ac:dyDescent="0.2">
      <c r="A17" s="30" t="s">
        <v>14</v>
      </c>
      <c r="B17">
        <v>48</v>
      </c>
      <c r="C17" s="4">
        <v>0.231549723383497</v>
      </c>
      <c r="D17" s="1">
        <v>0.16647222222222199</v>
      </c>
      <c r="E17" s="1">
        <v>1.2909722222222199E-2</v>
      </c>
      <c r="F17" s="1">
        <v>8.2722222222222197E-2</v>
      </c>
      <c r="G17" s="1">
        <v>1.9753577382606302E-3</v>
      </c>
      <c r="H17" s="1">
        <v>3.0208333333333299E-2</v>
      </c>
      <c r="I17" s="1">
        <v>0.47416241887824301</v>
      </c>
      <c r="J17" s="4">
        <v>0.14801834214564799</v>
      </c>
      <c r="K17" s="1">
        <v>5.0493055555555597E-2</v>
      </c>
      <c r="L17" s="1">
        <v>3.3038325682292903E-2</v>
      </c>
      <c r="M17" s="4">
        <v>2.35069444444444E-2</v>
      </c>
      <c r="N17" s="1">
        <v>2.2291666666666699E-2</v>
      </c>
      <c r="O17" s="1">
        <v>9.2361111111111203E-3</v>
      </c>
      <c r="P17" s="1">
        <v>8.4046119923425894E-2</v>
      </c>
      <c r="Q17" s="1">
        <v>0</v>
      </c>
      <c r="R17" s="1">
        <v>8.9374999999999993E-3</v>
      </c>
      <c r="S17" s="4">
        <v>2.0763888888888902E-3</v>
      </c>
      <c r="T17" s="4">
        <v>4.7430555555555603E-3</v>
      </c>
      <c r="U17" s="4">
        <v>1.2638888888888899E-3</v>
      </c>
      <c r="V17" s="4">
        <v>1.38888888888889E-5</v>
      </c>
      <c r="W17" s="4">
        <v>1.5416666666666699E-3</v>
      </c>
      <c r="X17" s="4">
        <v>3.9236111111111104E-3</v>
      </c>
      <c r="Y17" s="4">
        <v>9.9444444444444398E-3</v>
      </c>
      <c r="Z17" s="1">
        <v>1.38888888888889E-4</v>
      </c>
      <c r="AA17" s="1">
        <v>9.0972222222222201E-3</v>
      </c>
      <c r="AB17" s="1">
        <v>1.30555555555556E-3</v>
      </c>
      <c r="AC17" s="1">
        <v>0</v>
      </c>
      <c r="AD17" s="1">
        <v>1.5416666666666699E-3</v>
      </c>
      <c r="AE17" s="1">
        <v>3.9236111111111104E-3</v>
      </c>
      <c r="AF17" s="1">
        <v>7.4999999999999997E-3</v>
      </c>
      <c r="AG17" s="4">
        <v>3.40277777777778E-4</v>
      </c>
      <c r="AH17" s="4">
        <v>0</v>
      </c>
      <c r="AI17" s="4">
        <v>2.5694444444444397E-4</v>
      </c>
      <c r="AJ17" s="4">
        <v>3.1944444444444399E-3</v>
      </c>
      <c r="AK17" s="4">
        <v>4.58333333333333E-4</v>
      </c>
      <c r="AL17" s="4">
        <v>8.7500000000000002E-4</v>
      </c>
      <c r="AM17" s="4">
        <v>0</v>
      </c>
      <c r="AN17" s="1">
        <v>3.40277777777778E-4</v>
      </c>
      <c r="AO17" s="1">
        <v>0</v>
      </c>
      <c r="AP17" s="1">
        <v>9.0972222222222201E-3</v>
      </c>
      <c r="AQ17" s="1">
        <v>0</v>
      </c>
      <c r="AR17" s="1">
        <v>0</v>
      </c>
      <c r="AS17" s="1">
        <v>7.9861111111111105E-4</v>
      </c>
      <c r="AT17" s="1">
        <v>0</v>
      </c>
    </row>
    <row r="18" spans="1:46" x14ac:dyDescent="0.2">
      <c r="A18" s="30" t="s">
        <v>15</v>
      </c>
      <c r="B18">
        <v>46</v>
      </c>
      <c r="C18" s="4">
        <v>0.19917045345451501</v>
      </c>
      <c r="D18" s="1">
        <v>0.43599058185691802</v>
      </c>
      <c r="E18" s="1">
        <v>5.9649949608157497E-2</v>
      </c>
      <c r="F18" s="1">
        <v>2.4837556912203299E-2</v>
      </c>
      <c r="G18" s="1">
        <v>7.7095409022243698E-3</v>
      </c>
      <c r="H18" s="1">
        <v>0.102451814771954</v>
      </c>
      <c r="I18" s="1">
        <v>0.170190102494027</v>
      </c>
      <c r="J18" s="4">
        <v>0.15284388307124999</v>
      </c>
      <c r="K18" s="1">
        <v>4.6277124467101798E-2</v>
      </c>
      <c r="L18" s="1">
        <v>4.9445916163129097E-5</v>
      </c>
      <c r="M18" s="4">
        <v>3.4953711765063303E-2</v>
      </c>
      <c r="N18" s="1">
        <v>1.23844141196302E-2</v>
      </c>
      <c r="O18" s="1">
        <v>5.4666240639656798E-2</v>
      </c>
      <c r="P18" s="1">
        <v>1.2976797341765701E-2</v>
      </c>
      <c r="Q18" s="1">
        <v>2.8164069423425601E-4</v>
      </c>
      <c r="R18" s="1">
        <v>3.7581078510899903E-2</v>
      </c>
      <c r="S18" s="4">
        <v>1.24859136936389E-3</v>
      </c>
      <c r="T18" s="4">
        <v>8.0331260861193007E-3</v>
      </c>
      <c r="U18" s="4">
        <v>1.57828936555677E-3</v>
      </c>
      <c r="V18" s="4">
        <v>8.0518817112442298E-4</v>
      </c>
      <c r="W18" s="4">
        <v>2.0880507946041101E-3</v>
      </c>
      <c r="X18" s="4">
        <v>9.7614582813989794E-3</v>
      </c>
      <c r="Y18" s="4">
        <v>1.1439007696895801E-2</v>
      </c>
      <c r="Z18" s="1">
        <v>1.3958740358630899E-3</v>
      </c>
      <c r="AA18" s="1">
        <v>8.3130977343486099E-3</v>
      </c>
      <c r="AB18" s="1">
        <v>1.4840864670060501E-3</v>
      </c>
      <c r="AC18" s="1">
        <v>0</v>
      </c>
      <c r="AD18" s="1">
        <v>2.0880507946041101E-3</v>
      </c>
      <c r="AE18" s="1">
        <v>9.7614582813989794E-3</v>
      </c>
      <c r="AF18" s="1">
        <v>1.1911144451842499E-2</v>
      </c>
      <c r="AG18" s="4">
        <v>1.3434263173066701E-3</v>
      </c>
      <c r="AH18" s="4">
        <v>7.2463768115942E-6</v>
      </c>
      <c r="AI18" s="4">
        <v>1.69595942341604E-3</v>
      </c>
      <c r="AJ18" s="4">
        <v>1.7757082672851599E-3</v>
      </c>
      <c r="AK18" s="4">
        <v>3.9380207885303803E-3</v>
      </c>
      <c r="AL18" s="4">
        <v>1.44927536231884E-4</v>
      </c>
      <c r="AM18" s="4">
        <v>0</v>
      </c>
      <c r="AN18" s="1">
        <v>1.37241182455305E-3</v>
      </c>
      <c r="AO18" s="1">
        <v>0</v>
      </c>
      <c r="AP18" s="1">
        <v>8.3130977343486099E-3</v>
      </c>
      <c r="AQ18" s="1">
        <v>0</v>
      </c>
      <c r="AR18" s="1">
        <v>0</v>
      </c>
      <c r="AS18" s="1">
        <v>9.4202898550724593E-5</v>
      </c>
      <c r="AT18" s="1">
        <v>0</v>
      </c>
    </row>
    <row r="19" spans="1:46" x14ac:dyDescent="0.2">
      <c r="A19" s="30" t="s">
        <v>16</v>
      </c>
      <c r="B19">
        <v>6</v>
      </c>
      <c r="C19" s="4">
        <v>0.77561011786100997</v>
      </c>
      <c r="D19" s="1">
        <v>9.1421560304265306E-2</v>
      </c>
      <c r="E19" s="1">
        <v>6.4508657475517098E-3</v>
      </c>
      <c r="F19" s="1">
        <v>0.121233144432578</v>
      </c>
      <c r="G19" s="1">
        <v>1.0562794298677599E-3</v>
      </c>
      <c r="H19" s="1">
        <v>6.1183498542331804E-4</v>
      </c>
      <c r="I19" s="1">
        <v>3.6161972393039198E-3</v>
      </c>
      <c r="J19" s="4">
        <v>0.77327405696740104</v>
      </c>
      <c r="K19" s="1">
        <v>2.3360608936096299E-3</v>
      </c>
      <c r="L19" s="1">
        <v>3.7007434154172E-17</v>
      </c>
      <c r="M19" s="4">
        <v>0.31087430256133503</v>
      </c>
      <c r="N19" s="1">
        <v>3.2264728819128702E-3</v>
      </c>
      <c r="O19" s="1">
        <v>1.5737216351990799E-2</v>
      </c>
      <c r="P19" s="1">
        <v>0.44315799030585201</v>
      </c>
      <c r="Q19" s="1">
        <v>1.66963755199049E-4</v>
      </c>
      <c r="R19" s="1">
        <v>1.11111111111136E-4</v>
      </c>
      <c r="S19" s="4">
        <v>0</v>
      </c>
      <c r="T19" s="4">
        <v>9.0629970402610806E-3</v>
      </c>
      <c r="U19" s="43">
        <v>0.30164463885440701</v>
      </c>
      <c r="V19" s="4">
        <v>0</v>
      </c>
      <c r="W19" s="4">
        <v>5.5555555555555497E-5</v>
      </c>
      <c r="X19" s="4">
        <v>0</v>
      </c>
      <c r="Y19" s="4">
        <v>1.11111111111117E-4</v>
      </c>
      <c r="Z19" s="1">
        <v>0</v>
      </c>
      <c r="AA19" s="1">
        <v>9.0629970402610806E-3</v>
      </c>
      <c r="AB19" s="1">
        <v>0.30158899055168098</v>
      </c>
      <c r="AC19" s="1">
        <v>0</v>
      </c>
      <c r="AD19" s="1">
        <v>5.5555555555555497E-5</v>
      </c>
      <c r="AE19" s="1">
        <v>0</v>
      </c>
      <c r="AF19" s="1">
        <v>1.6675941383788301E-4</v>
      </c>
      <c r="AG19" s="4">
        <v>9.4578079715257205E-4</v>
      </c>
      <c r="AH19" s="4">
        <v>0</v>
      </c>
      <c r="AI19" s="4">
        <v>8.8960521320807801E-3</v>
      </c>
      <c r="AJ19" s="4">
        <v>1.6694490818030001E-4</v>
      </c>
      <c r="AK19" s="4">
        <v>0</v>
      </c>
      <c r="AL19" s="4">
        <v>0.30058750565470599</v>
      </c>
      <c r="AM19" s="4">
        <v>0</v>
      </c>
      <c r="AN19" s="1">
        <v>9.4578079715257205E-4</v>
      </c>
      <c r="AO19" s="1">
        <v>0</v>
      </c>
      <c r="AP19" s="1">
        <v>9.0629970402610806E-3</v>
      </c>
      <c r="AQ19" s="1">
        <v>0</v>
      </c>
      <c r="AR19" s="1">
        <v>0</v>
      </c>
      <c r="AS19" s="1">
        <v>0.30058750565470599</v>
      </c>
      <c r="AT19" s="1">
        <v>0</v>
      </c>
    </row>
    <row r="20" spans="1:46" x14ac:dyDescent="0.2">
      <c r="A20" s="30" t="s">
        <v>17</v>
      </c>
      <c r="B20">
        <v>13</v>
      </c>
      <c r="C20" s="4">
        <v>0.52068824693515603</v>
      </c>
      <c r="D20" s="1">
        <v>0.13780626590249001</v>
      </c>
      <c r="E20" s="1">
        <v>5.2697704901179698E-2</v>
      </c>
      <c r="F20" s="1">
        <v>1.98284886958459E-2</v>
      </c>
      <c r="G20" s="1">
        <v>0.12054337042843601</v>
      </c>
      <c r="H20" s="1">
        <v>8.7527392976774906E-2</v>
      </c>
      <c r="I20" s="1">
        <v>6.0908530160117103E-2</v>
      </c>
      <c r="J20" s="4">
        <v>0.34465274529457601</v>
      </c>
      <c r="K20" s="1">
        <v>0.17600986061493901</v>
      </c>
      <c r="L20" s="1">
        <v>2.5641025641024901E-5</v>
      </c>
      <c r="M20" s="4">
        <v>0.135270323061502</v>
      </c>
      <c r="N20" s="1">
        <v>1.59494375765676E-2</v>
      </c>
      <c r="O20" s="1">
        <v>0.16540488490237901</v>
      </c>
      <c r="P20" s="1">
        <v>1.11282051282051E-2</v>
      </c>
      <c r="Q20" s="1">
        <v>5.6410256410256395E-4</v>
      </c>
      <c r="R20" s="1">
        <v>1.6335792061819499E-2</v>
      </c>
      <c r="S20" s="4">
        <v>1.71830853187352E-3</v>
      </c>
      <c r="T20" s="43">
        <v>0.106493056447951</v>
      </c>
      <c r="U20" s="43">
        <v>1.6463097655212599E-2</v>
      </c>
      <c r="V20" s="4">
        <v>1.02564102564102E-4</v>
      </c>
      <c r="W20" s="4">
        <v>2.8217122002621503E-4</v>
      </c>
      <c r="X20" s="4">
        <v>2.2332879282428299E-3</v>
      </c>
      <c r="Y20" s="4">
        <v>7.9778371756320295E-3</v>
      </c>
      <c r="Z20" s="1">
        <v>8.2319686105185603E-3</v>
      </c>
      <c r="AA20" s="1">
        <v>0.106621561421094</v>
      </c>
      <c r="AB20" s="1">
        <v>1.6437456629571599E-2</v>
      </c>
      <c r="AC20" s="1">
        <v>0</v>
      </c>
      <c r="AD20" s="1">
        <v>2.8217122002621503E-4</v>
      </c>
      <c r="AE20" s="1">
        <v>2.2332879282428299E-3</v>
      </c>
      <c r="AF20" s="1">
        <v>1.4638772520496599E-3</v>
      </c>
      <c r="AG20" s="4">
        <v>4.8717948717948801E-4</v>
      </c>
      <c r="AH20" s="4">
        <v>0</v>
      </c>
      <c r="AI20" s="4">
        <v>8.0108021280423505E-2</v>
      </c>
      <c r="AJ20" s="4">
        <v>4.6666666666666697E-3</v>
      </c>
      <c r="AK20" s="4">
        <v>2.5641025641025599E-5</v>
      </c>
      <c r="AL20" s="4">
        <v>1.5770789962904899E-2</v>
      </c>
      <c r="AM20" s="4">
        <v>0</v>
      </c>
      <c r="AN20" s="1">
        <v>1.7948717948717901E-4</v>
      </c>
      <c r="AO20" s="1">
        <v>0</v>
      </c>
      <c r="AP20" s="1">
        <v>0.106621561421094</v>
      </c>
      <c r="AQ20" s="1">
        <v>0</v>
      </c>
      <c r="AR20" s="1">
        <v>0</v>
      </c>
      <c r="AS20" s="1">
        <v>1.5822072014186998E-2</v>
      </c>
      <c r="AT20" s="1">
        <v>0</v>
      </c>
    </row>
    <row r="21" spans="1:46" x14ac:dyDescent="0.2">
      <c r="C21" s="5"/>
    </row>
    <row r="22" spans="1:46" x14ac:dyDescent="0.2">
      <c r="A22" s="21" t="s">
        <v>82</v>
      </c>
      <c r="C22" s="35">
        <f>AVERAGE(C7:C14)</f>
        <v>0.56069968769922351</v>
      </c>
      <c r="D22" s="5">
        <f t="shared" ref="D22:AT22" si="0">AVERAGE(D7:D14)</f>
        <v>0.15423586558080557</v>
      </c>
      <c r="E22" s="5">
        <f t="shared" si="0"/>
        <v>0.10200534313286429</v>
      </c>
      <c r="F22" s="5">
        <f t="shared" si="0"/>
        <v>9.7214779410386032E-2</v>
      </c>
      <c r="G22" s="5">
        <f t="shared" si="0"/>
        <v>9.5956963126092917E-3</v>
      </c>
      <c r="H22" s="5">
        <f t="shared" si="0"/>
        <v>3.8415806545307768E-2</v>
      </c>
      <c r="I22" s="5">
        <f t="shared" si="0"/>
        <v>3.7832821318803569E-2</v>
      </c>
      <c r="J22" s="35">
        <f t="shared" si="0"/>
        <v>0.42304959593839692</v>
      </c>
      <c r="K22" s="5">
        <f t="shared" si="0"/>
        <v>0.13755665727912489</v>
      </c>
      <c r="L22" s="5">
        <f t="shared" si="0"/>
        <v>9.3434481702127297E-5</v>
      </c>
      <c r="M22" s="35">
        <f t="shared" si="0"/>
        <v>0.21555844666253851</v>
      </c>
      <c r="N22" s="5">
        <f t="shared" si="0"/>
        <v>0.10612823341299202</v>
      </c>
      <c r="O22" s="5">
        <f t="shared" si="0"/>
        <v>6.7521571630024563E-2</v>
      </c>
      <c r="P22" s="5">
        <f t="shared" si="0"/>
        <v>1.0972630994990903E-2</v>
      </c>
      <c r="Q22" s="5">
        <f t="shared" si="0"/>
        <v>5.2707090558965558E-3</v>
      </c>
      <c r="R22" s="5">
        <f t="shared" si="0"/>
        <v>1.759800418195424E-2</v>
      </c>
      <c r="S22" s="35">
        <f t="shared" si="0"/>
        <v>1.657748079766291E-2</v>
      </c>
      <c r="T22" s="35">
        <f t="shared" si="0"/>
        <v>0.10021026269787368</v>
      </c>
      <c r="U22" s="35">
        <f t="shared" si="0"/>
        <v>5.813688416853309E-2</v>
      </c>
      <c r="V22" s="35">
        <f t="shared" si="0"/>
        <v>2.8378194295420782E-3</v>
      </c>
      <c r="W22" s="35">
        <f t="shared" si="0"/>
        <v>2.2299751043380174E-2</v>
      </c>
      <c r="X22" s="35">
        <f t="shared" si="0"/>
        <v>2.3312679496156289E-3</v>
      </c>
      <c r="Y22" s="35">
        <f t="shared" si="0"/>
        <v>1.3164980575930902E-2</v>
      </c>
      <c r="Z22" s="5">
        <f t="shared" si="0"/>
        <v>2.4490729805317073E-2</v>
      </c>
      <c r="AA22" s="5">
        <f t="shared" si="0"/>
        <v>0.10229935679974693</v>
      </c>
      <c r="AB22" s="5">
        <f t="shared" si="0"/>
        <v>5.9003941209277155E-2</v>
      </c>
      <c r="AC22" s="5">
        <f t="shared" si="0"/>
        <v>5.3700067110857641E-4</v>
      </c>
      <c r="AD22" s="5">
        <f t="shared" si="0"/>
        <v>2.2299751043380174E-2</v>
      </c>
      <c r="AE22" s="5">
        <f t="shared" si="0"/>
        <v>2.3312679496156289E-3</v>
      </c>
      <c r="AF22" s="5">
        <f t="shared" si="0"/>
        <v>4.5963991840930482E-3</v>
      </c>
      <c r="AG22" s="5">
        <f t="shared" si="0"/>
        <v>1.7765353947632315E-3</v>
      </c>
      <c r="AH22" s="5">
        <f t="shared" si="0"/>
        <v>2.5109011846919185E-4</v>
      </c>
      <c r="AI22" s="34">
        <f t="shared" si="0"/>
        <v>8.7274154333611853E-2</v>
      </c>
      <c r="AJ22" s="34">
        <f>AVERAGE(AJ7:AJ14)</f>
        <v>1.1414212265687814E-2</v>
      </c>
      <c r="AK22" s="5">
        <f t="shared" si="0"/>
        <v>7.8768262684622092E-4</v>
      </c>
      <c r="AL22" s="34">
        <f t="shared" si="0"/>
        <v>5.337159017291173E-2</v>
      </c>
      <c r="AM22" s="5">
        <f t="shared" si="0"/>
        <v>3.5379417720012864E-3</v>
      </c>
      <c r="AN22" s="5">
        <f t="shared" si="0"/>
        <v>1.4048511128468459E-3</v>
      </c>
      <c r="AO22" s="5">
        <f t="shared" si="0"/>
        <v>0</v>
      </c>
      <c r="AP22" s="5">
        <f t="shared" si="0"/>
        <v>0.10229935679974693</v>
      </c>
      <c r="AQ22" s="5">
        <f t="shared" si="0"/>
        <v>0</v>
      </c>
      <c r="AR22" s="5">
        <f t="shared" si="0"/>
        <v>0</v>
      </c>
      <c r="AS22" s="5">
        <f t="shared" si="0"/>
        <v>5.5929827977361263E-2</v>
      </c>
      <c r="AT22" s="5">
        <f t="shared" si="0"/>
        <v>0</v>
      </c>
    </row>
    <row r="23" spans="1:46" x14ac:dyDescent="0.2">
      <c r="A23" s="21" t="s">
        <v>83</v>
      </c>
      <c r="C23" s="35">
        <f>MAX(C7:C14)</f>
        <v>0.87102137801998503</v>
      </c>
      <c r="D23" s="37">
        <f t="shared" ref="D23:J23" si="1">MAX(D7:D14)</f>
        <v>0.50732533632092902</v>
      </c>
      <c r="E23" s="37">
        <f t="shared" si="1"/>
        <v>0.34925362318840603</v>
      </c>
      <c r="F23" s="37">
        <f t="shared" si="1"/>
        <v>0.201804347826087</v>
      </c>
      <c r="G23" s="37">
        <f t="shared" si="1"/>
        <v>3.4195191070245101E-2</v>
      </c>
      <c r="H23" s="37">
        <f t="shared" si="1"/>
        <v>0.133749174917492</v>
      </c>
      <c r="I23" s="37">
        <f t="shared" si="1"/>
        <v>9.8115942028985506E-2</v>
      </c>
      <c r="J23" s="35">
        <f t="shared" si="1"/>
        <v>0.78655045000852897</v>
      </c>
      <c r="K23" s="37">
        <f t="shared" ref="K23:AT23" si="2">MAX(K7:K14)</f>
        <v>0.26090933005769001</v>
      </c>
      <c r="L23" s="37">
        <f t="shared" si="2"/>
        <v>2.7396908266804802E-4</v>
      </c>
      <c r="M23" s="35">
        <f t="shared" si="2"/>
        <v>0.40628438250266202</v>
      </c>
      <c r="N23" s="37">
        <f t="shared" si="2"/>
        <v>0.209982889921943</v>
      </c>
      <c r="O23" s="37">
        <f t="shared" si="2"/>
        <v>0.158597359735974</v>
      </c>
      <c r="P23" s="37">
        <f t="shared" si="2"/>
        <v>3.9014262920135899E-2</v>
      </c>
      <c r="Q23" s="37">
        <f t="shared" si="2"/>
        <v>4.0136041880438199E-2</v>
      </c>
      <c r="R23" s="37">
        <f t="shared" si="2"/>
        <v>5.7556109038714102E-2</v>
      </c>
      <c r="S23" s="35">
        <f t="shared" si="2"/>
        <v>5.0101531428661701E-2</v>
      </c>
      <c r="T23" s="35">
        <f t="shared" si="2"/>
        <v>0.19670885665121501</v>
      </c>
      <c r="U23" s="35">
        <f t="shared" si="2"/>
        <v>0.117649756993207</v>
      </c>
      <c r="V23" s="35">
        <f t="shared" si="2"/>
        <v>8.5998950809496599E-3</v>
      </c>
      <c r="W23" s="35">
        <f t="shared" si="2"/>
        <v>0.13976985310488599</v>
      </c>
      <c r="X23" s="35">
        <f t="shared" si="2"/>
        <v>1.1369321069203501E-2</v>
      </c>
      <c r="Y23" s="35">
        <f t="shared" si="2"/>
        <v>4.4856190025901799E-2</v>
      </c>
      <c r="Z23" s="36">
        <f t="shared" si="2"/>
        <v>7.5336842475286603E-2</v>
      </c>
      <c r="AA23" s="36">
        <f t="shared" si="2"/>
        <v>0.20171292716651601</v>
      </c>
      <c r="AB23" s="36">
        <f t="shared" si="2"/>
        <v>0.117410699015808</v>
      </c>
      <c r="AC23" s="36">
        <f t="shared" si="2"/>
        <v>1.89916712523306E-3</v>
      </c>
      <c r="AD23" s="36">
        <f t="shared" si="2"/>
        <v>0.13976985310488599</v>
      </c>
      <c r="AE23" s="36">
        <f t="shared" si="2"/>
        <v>1.1369321069203501E-2</v>
      </c>
      <c r="AF23" s="36">
        <f t="shared" si="2"/>
        <v>1.16069705445423E-2</v>
      </c>
      <c r="AG23" s="36">
        <f t="shared" si="2"/>
        <v>1.04638137717924E-2</v>
      </c>
      <c r="AH23" s="36">
        <f t="shared" si="2"/>
        <v>1.2814035310678401E-3</v>
      </c>
      <c r="AI23" s="35">
        <f t="shared" si="2"/>
        <v>0.1752147246197</v>
      </c>
      <c r="AJ23" s="35">
        <f t="shared" si="2"/>
        <v>3.6681057020582497E-2</v>
      </c>
      <c r="AK23" s="36">
        <f t="shared" si="2"/>
        <v>5.6468646864686499E-3</v>
      </c>
      <c r="AL23" s="35">
        <f t="shared" si="2"/>
        <v>0.110062993778496</v>
      </c>
      <c r="AM23" s="36">
        <f t="shared" si="2"/>
        <v>2.0307862790890301E-2</v>
      </c>
      <c r="AN23" s="36">
        <f t="shared" si="2"/>
        <v>7.77281639119848E-3</v>
      </c>
      <c r="AO23" s="36">
        <f t="shared" si="2"/>
        <v>0</v>
      </c>
      <c r="AP23" s="36">
        <f t="shared" si="2"/>
        <v>0.20171292716651601</v>
      </c>
      <c r="AQ23" s="36">
        <f t="shared" si="2"/>
        <v>0</v>
      </c>
      <c r="AR23" s="36">
        <f t="shared" si="2"/>
        <v>0</v>
      </c>
      <c r="AS23" s="36">
        <f t="shared" si="2"/>
        <v>0.117410699015808</v>
      </c>
      <c r="AT23" s="36">
        <f t="shared" si="2"/>
        <v>0</v>
      </c>
    </row>
    <row r="24" spans="1:46" x14ac:dyDescent="0.2">
      <c r="A24" s="21" t="s">
        <v>84</v>
      </c>
      <c r="C24" s="35">
        <f>MIN(C7:C14)</f>
        <v>0.25118930362318997</v>
      </c>
      <c r="D24" s="37">
        <f t="shared" ref="D24:J24" si="3">MIN(D7:D14)</f>
        <v>5.5102078621823303E-4</v>
      </c>
      <c r="E24" s="37">
        <f t="shared" si="3"/>
        <v>1.8318921382930199E-3</v>
      </c>
      <c r="F24" s="37">
        <f t="shared" si="3"/>
        <v>1.6035588661286999E-3</v>
      </c>
      <c r="G24" s="37">
        <f t="shared" si="3"/>
        <v>1.5049504950495E-3</v>
      </c>
      <c r="H24" s="37">
        <f t="shared" si="3"/>
        <v>0</v>
      </c>
      <c r="I24" s="37">
        <f t="shared" si="3"/>
        <v>4.0720638977393697E-3</v>
      </c>
      <c r="J24" s="35">
        <f t="shared" si="3"/>
        <v>0.16658054306273501</v>
      </c>
      <c r="K24" s="37">
        <f t="shared" ref="K24:AT24" si="4">MIN(K7:K14)</f>
        <v>8.4425290896142799E-2</v>
      </c>
      <c r="L24" s="37">
        <f t="shared" si="4"/>
        <v>0</v>
      </c>
      <c r="M24" s="35">
        <f t="shared" si="4"/>
        <v>6.7656778151073904E-2</v>
      </c>
      <c r="N24" s="37">
        <f t="shared" si="4"/>
        <v>2.18550724637681E-2</v>
      </c>
      <c r="O24" s="37">
        <f t="shared" si="4"/>
        <v>6.2168425907463297E-3</v>
      </c>
      <c r="P24" s="37">
        <f t="shared" si="4"/>
        <v>1.7018284268111199E-3</v>
      </c>
      <c r="Q24" s="37">
        <f t="shared" si="4"/>
        <v>0</v>
      </c>
      <c r="R24" s="37">
        <f t="shared" si="4"/>
        <v>7.5118583637313603E-4</v>
      </c>
      <c r="S24" s="35">
        <f t="shared" si="4"/>
        <v>1.2502778704012401E-4</v>
      </c>
      <c r="T24" s="35">
        <f t="shared" si="4"/>
        <v>2.04555630771396E-2</v>
      </c>
      <c r="U24" s="35">
        <f t="shared" si="4"/>
        <v>6.6567656765676598E-3</v>
      </c>
      <c r="V24" s="35">
        <f t="shared" si="4"/>
        <v>0</v>
      </c>
      <c r="W24" s="35">
        <f t="shared" si="4"/>
        <v>5.8695652173913E-4</v>
      </c>
      <c r="X24" s="35">
        <f t="shared" si="4"/>
        <v>4.1876046901172497E-5</v>
      </c>
      <c r="Y24" s="35">
        <f t="shared" si="4"/>
        <v>4.6302954977049503E-4</v>
      </c>
      <c r="Z24" s="36">
        <f t="shared" si="4"/>
        <v>5.4236427497049498E-4</v>
      </c>
      <c r="AA24" s="36">
        <f t="shared" si="4"/>
        <v>2.04555630771396E-2</v>
      </c>
      <c r="AB24" s="36">
        <f t="shared" si="4"/>
        <v>6.6138613861386102E-3</v>
      </c>
      <c r="AC24" s="36">
        <f t="shared" si="4"/>
        <v>0</v>
      </c>
      <c r="AD24" s="36">
        <f t="shared" si="4"/>
        <v>5.8695652173913E-4</v>
      </c>
      <c r="AE24" s="36">
        <f t="shared" si="4"/>
        <v>4.1876046901172497E-5</v>
      </c>
      <c r="AF24" s="36">
        <f t="shared" si="4"/>
        <v>3.7546044102919498E-4</v>
      </c>
      <c r="AG24" s="36">
        <f t="shared" si="4"/>
        <v>0</v>
      </c>
      <c r="AH24" s="36">
        <f t="shared" si="4"/>
        <v>0</v>
      </c>
      <c r="AI24" s="35">
        <f t="shared" si="4"/>
        <v>2.0121336648787999E-2</v>
      </c>
      <c r="AJ24" s="35">
        <f t="shared" si="4"/>
        <v>3.34226428351606E-4</v>
      </c>
      <c r="AK24" s="36">
        <f t="shared" si="4"/>
        <v>0</v>
      </c>
      <c r="AL24" s="35">
        <f>MIN(AL7:AL14)</f>
        <v>6.3399339933993401E-3</v>
      </c>
      <c r="AM24" s="36">
        <f t="shared" si="4"/>
        <v>0</v>
      </c>
      <c r="AN24" s="36">
        <f t="shared" si="4"/>
        <v>0</v>
      </c>
      <c r="AO24" s="36">
        <f t="shared" si="4"/>
        <v>0</v>
      </c>
      <c r="AP24" s="36">
        <f t="shared" si="4"/>
        <v>2.04555630771396E-2</v>
      </c>
      <c r="AQ24" s="36">
        <f t="shared" si="4"/>
        <v>0</v>
      </c>
      <c r="AR24" s="36">
        <f t="shared" si="4"/>
        <v>0</v>
      </c>
      <c r="AS24" s="36">
        <f t="shared" si="4"/>
        <v>6.3795379537953797E-3</v>
      </c>
      <c r="AT24" s="36">
        <f t="shared" si="4"/>
        <v>0</v>
      </c>
    </row>
    <row r="25" spans="1:46" x14ac:dyDescent="0.2">
      <c r="C25" s="36"/>
      <c r="D25" s="37"/>
      <c r="E25" s="37"/>
      <c r="F25" s="37"/>
      <c r="G25" s="37"/>
      <c r="H25" s="37"/>
      <c r="I25" s="37"/>
      <c r="J25" s="36"/>
      <c r="K25" s="37"/>
      <c r="L25" s="37"/>
      <c r="M25" s="36"/>
      <c r="N25" s="37"/>
      <c r="O25" s="37"/>
      <c r="P25" s="37"/>
      <c r="Q25" s="37"/>
      <c r="R25" s="37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 spans="1:46" x14ac:dyDescent="0.2">
      <c r="A26" s="21" t="s">
        <v>85</v>
      </c>
      <c r="C26" s="37">
        <f>AVERAGE(C15:C16)</f>
        <v>0.43177700949632203</v>
      </c>
      <c r="D26" s="37">
        <f t="shared" ref="D26:AT26" si="5">AVERAGE(D15:D16)</f>
        <v>0.24952113589507449</v>
      </c>
      <c r="E26" s="37">
        <f t="shared" si="5"/>
        <v>2.2216598945146399E-2</v>
      </c>
      <c r="F26" s="37">
        <f t="shared" si="5"/>
        <v>4.124914861647655E-2</v>
      </c>
      <c r="G26" s="37">
        <f t="shared" si="5"/>
        <v>1.5484716080974234E-3</v>
      </c>
      <c r="H26" s="37">
        <f t="shared" si="5"/>
        <v>5.0893044386535552E-2</v>
      </c>
      <c r="I26" s="37">
        <f t="shared" si="5"/>
        <v>0.20279459105234729</v>
      </c>
      <c r="J26" s="37">
        <f t="shared" si="5"/>
        <v>0.28622014274849</v>
      </c>
      <c r="K26" s="37">
        <f t="shared" si="5"/>
        <v>0.14036500808040969</v>
      </c>
      <c r="L26" s="37">
        <f t="shared" si="5"/>
        <v>5.1918586674222465E-3</v>
      </c>
      <c r="M26" s="35">
        <f t="shared" si="5"/>
        <v>8.0844609767351139E-2</v>
      </c>
      <c r="N26" s="37">
        <f t="shared" si="5"/>
        <v>3.2903044389691251E-2</v>
      </c>
      <c r="O26" s="37">
        <f t="shared" si="5"/>
        <v>5.3148227058134448E-2</v>
      </c>
      <c r="P26" s="37">
        <f t="shared" si="5"/>
        <v>9.2589754621320131E-2</v>
      </c>
      <c r="Q26" s="37">
        <f t="shared" si="5"/>
        <v>0</v>
      </c>
      <c r="R26" s="37">
        <f t="shared" si="5"/>
        <v>2.6734506911993604E-2</v>
      </c>
      <c r="S26" s="37">
        <f t="shared" si="5"/>
        <v>1.683112860874144E-2</v>
      </c>
      <c r="T26" s="35">
        <f t="shared" si="5"/>
        <v>3.6143909728711551E-2</v>
      </c>
      <c r="U26" s="37">
        <f t="shared" si="5"/>
        <v>9.1311637963044402E-3</v>
      </c>
      <c r="V26" s="37">
        <f t="shared" si="5"/>
        <v>5.4609929078013996E-4</v>
      </c>
      <c r="W26" s="37">
        <f t="shared" si="5"/>
        <v>1.5267748957162649E-3</v>
      </c>
      <c r="X26" s="37">
        <f t="shared" si="5"/>
        <v>3.6989940228657602E-3</v>
      </c>
      <c r="Y26" s="37">
        <f t="shared" si="5"/>
        <v>1.296653942423154E-2</v>
      </c>
      <c r="Z26" s="37">
        <f t="shared" si="5"/>
        <v>1.3950424450884591E-2</v>
      </c>
      <c r="AA26" s="37">
        <f t="shared" si="5"/>
        <v>4.2964163493697749E-2</v>
      </c>
      <c r="AB26" s="37">
        <f t="shared" si="5"/>
        <v>9.1434387553879105E-3</v>
      </c>
      <c r="AC26" s="37">
        <f t="shared" si="5"/>
        <v>0</v>
      </c>
      <c r="AD26" s="37">
        <f t="shared" si="5"/>
        <v>1.5267748957162649E-3</v>
      </c>
      <c r="AE26" s="37">
        <f t="shared" si="5"/>
        <v>3.6989940228657602E-3</v>
      </c>
      <c r="AF26" s="37">
        <f t="shared" si="5"/>
        <v>9.5608141487988647E-3</v>
      </c>
      <c r="AG26" s="37">
        <f t="shared" si="5"/>
        <v>3.0112154996250647E-3</v>
      </c>
      <c r="AH26" s="37">
        <f t="shared" si="5"/>
        <v>3.5460992907801402E-6</v>
      </c>
      <c r="AI26" s="37">
        <f t="shared" si="5"/>
        <v>2.27459213815937E-2</v>
      </c>
      <c r="AJ26" s="37">
        <f t="shared" si="5"/>
        <v>7.4109251432565798E-3</v>
      </c>
      <c r="AK26" s="37">
        <f t="shared" si="5"/>
        <v>4.6939161458706751E-3</v>
      </c>
      <c r="AL26" s="37">
        <f t="shared" si="5"/>
        <v>5.9512798413338102E-3</v>
      </c>
      <c r="AM26" s="37">
        <f t="shared" si="5"/>
        <v>2.1453900709219849E-3</v>
      </c>
      <c r="AN26" s="37">
        <f t="shared" si="5"/>
        <v>3.0253998967881847E-3</v>
      </c>
      <c r="AO26" s="37">
        <f t="shared" si="5"/>
        <v>0</v>
      </c>
      <c r="AP26" s="37">
        <f t="shared" si="5"/>
        <v>4.2964163493697749E-2</v>
      </c>
      <c r="AQ26" s="37">
        <f t="shared" si="5"/>
        <v>0</v>
      </c>
      <c r="AR26" s="37">
        <f t="shared" si="5"/>
        <v>0</v>
      </c>
      <c r="AS26" s="37">
        <f t="shared" si="5"/>
        <v>5.8844495085460299E-3</v>
      </c>
      <c r="AT26" s="37">
        <f t="shared" si="5"/>
        <v>0</v>
      </c>
    </row>
    <row r="27" spans="1:46" x14ac:dyDescent="0.2">
      <c r="A27" s="21" t="s">
        <v>86</v>
      </c>
      <c r="C27" s="37">
        <f>MAX(C15:C16)</f>
        <v>0.48101418439716298</v>
      </c>
      <c r="D27" s="37">
        <f t="shared" ref="D27:AT27" si="6">MAX(D15:D16)</f>
        <v>0.33636170212765998</v>
      </c>
      <c r="E27" s="37">
        <f t="shared" si="6"/>
        <v>3.1199155337101301E-2</v>
      </c>
      <c r="F27" s="37">
        <f t="shared" si="6"/>
        <v>4.7874183757775801E-2</v>
      </c>
      <c r="G27" s="37">
        <f t="shared" si="6"/>
        <v>2.1465886062657698E-3</v>
      </c>
      <c r="H27" s="37">
        <f t="shared" si="6"/>
        <v>8.0921985815602795E-2</v>
      </c>
      <c r="I27" s="37">
        <f t="shared" si="6"/>
        <v>0.35269556508341798</v>
      </c>
      <c r="J27" s="37">
        <f t="shared" si="6"/>
        <v>0.34333390251825702</v>
      </c>
      <c r="K27" s="37">
        <f t="shared" si="6"/>
        <v>0.25190780141843999</v>
      </c>
      <c r="L27" s="37">
        <f t="shared" si="6"/>
        <v>1.03837173348445E-2</v>
      </c>
      <c r="M27" s="35">
        <f t="shared" si="6"/>
        <v>8.3781418116262593E-2</v>
      </c>
      <c r="N27" s="37">
        <f t="shared" si="6"/>
        <v>3.7891195162361203E-2</v>
      </c>
      <c r="O27" s="37">
        <f t="shared" si="6"/>
        <v>8.1475177304964494E-2</v>
      </c>
      <c r="P27" s="37">
        <f t="shared" si="6"/>
        <v>0.180796530519236</v>
      </c>
      <c r="Q27" s="37">
        <f t="shared" si="6"/>
        <v>0</v>
      </c>
      <c r="R27" s="37">
        <f t="shared" si="6"/>
        <v>3.7425531914893603E-2</v>
      </c>
      <c r="S27" s="37">
        <f t="shared" si="6"/>
        <v>2.7730496453900699E-2</v>
      </c>
      <c r="T27" s="35">
        <f t="shared" si="6"/>
        <v>4.4223989670189097E-2</v>
      </c>
      <c r="U27" s="37">
        <f t="shared" si="6"/>
        <v>1.22055900039564E-2</v>
      </c>
      <c r="V27" s="37">
        <f t="shared" si="6"/>
        <v>1.0921985815602799E-3</v>
      </c>
      <c r="W27" s="37">
        <f t="shared" si="6"/>
        <v>1.8975214226381999E-3</v>
      </c>
      <c r="X27" s="37">
        <f t="shared" si="6"/>
        <v>4.2695035460992899E-3</v>
      </c>
      <c r="Y27" s="37">
        <f t="shared" si="6"/>
        <v>1.6394071756264499E-2</v>
      </c>
      <c r="Z27" s="37">
        <f t="shared" si="6"/>
        <v>2.1900709219858101E-2</v>
      </c>
      <c r="AA27" s="37">
        <f t="shared" si="6"/>
        <v>5.4275844717891999E-2</v>
      </c>
      <c r="AB27" s="37">
        <f t="shared" si="6"/>
        <v>1.2308154106520501E-2</v>
      </c>
      <c r="AC27" s="37">
        <f t="shared" si="6"/>
        <v>0</v>
      </c>
      <c r="AD27" s="37">
        <f t="shared" si="6"/>
        <v>1.8975214226381999E-3</v>
      </c>
      <c r="AE27" s="37">
        <f t="shared" si="6"/>
        <v>4.2695035460992899E-3</v>
      </c>
      <c r="AF27" s="37">
        <f t="shared" si="6"/>
        <v>1.2950354609929099E-2</v>
      </c>
      <c r="AG27" s="37">
        <f t="shared" si="6"/>
        <v>4.8805870276189198E-3</v>
      </c>
      <c r="AH27" s="37">
        <f t="shared" si="6"/>
        <v>7.0921985815602804E-6</v>
      </c>
      <c r="AI27" s="37">
        <f t="shared" si="6"/>
        <v>2.9009573259641298E-2</v>
      </c>
      <c r="AJ27" s="37">
        <f t="shared" si="6"/>
        <v>1.19920630524706E-2</v>
      </c>
      <c r="AK27" s="37">
        <f t="shared" si="6"/>
        <v>7.2765957446808598E-3</v>
      </c>
      <c r="AL27" s="37">
        <f t="shared" si="6"/>
        <v>7.0514958528803901E-3</v>
      </c>
      <c r="AM27" s="37">
        <f t="shared" si="6"/>
        <v>4.2907801418439698E-3</v>
      </c>
      <c r="AN27" s="37">
        <f t="shared" si="6"/>
        <v>4.8805870276189198E-3</v>
      </c>
      <c r="AO27" s="37">
        <f t="shared" si="6"/>
        <v>0</v>
      </c>
      <c r="AP27" s="37">
        <f t="shared" si="6"/>
        <v>5.4275844717891999E-2</v>
      </c>
      <c r="AQ27" s="37">
        <f t="shared" si="6"/>
        <v>0</v>
      </c>
      <c r="AR27" s="37">
        <f t="shared" si="6"/>
        <v>0</v>
      </c>
      <c r="AS27" s="37">
        <f t="shared" si="6"/>
        <v>6.9745727759573098E-3</v>
      </c>
      <c r="AT27" s="37">
        <f t="shared" si="6"/>
        <v>0</v>
      </c>
    </row>
    <row r="28" spans="1:46" x14ac:dyDescent="0.2">
      <c r="A28" s="21" t="s">
        <v>87</v>
      </c>
      <c r="C28" s="37">
        <f>MIN(C15:C16)</f>
        <v>0.38253983459548102</v>
      </c>
      <c r="D28" s="37">
        <f t="shared" ref="D28:AT28" si="7">MIN(D15:D16)</f>
        <v>0.16268056966248901</v>
      </c>
      <c r="E28" s="37">
        <f t="shared" si="7"/>
        <v>1.3234042553191499E-2</v>
      </c>
      <c r="F28" s="37">
        <f t="shared" si="7"/>
        <v>3.4624113475177298E-2</v>
      </c>
      <c r="G28" s="37">
        <f t="shared" si="7"/>
        <v>9.5035460992907701E-4</v>
      </c>
      <c r="H28" s="37">
        <f t="shared" si="7"/>
        <v>2.0864102957468302E-2</v>
      </c>
      <c r="I28" s="37">
        <f t="shared" si="7"/>
        <v>5.2893617021276602E-2</v>
      </c>
      <c r="J28" s="37">
        <f t="shared" si="7"/>
        <v>0.22910638297872299</v>
      </c>
      <c r="K28" s="37">
        <f t="shared" si="7"/>
        <v>2.88222147423794E-2</v>
      </c>
      <c r="L28" s="37">
        <f t="shared" si="7"/>
        <v>-7.6770741064505493E-18</v>
      </c>
      <c r="M28" s="35">
        <f t="shared" si="7"/>
        <v>7.7907801418439698E-2</v>
      </c>
      <c r="N28" s="37">
        <f t="shared" si="7"/>
        <v>2.7914893617021298E-2</v>
      </c>
      <c r="O28" s="37">
        <f t="shared" si="7"/>
        <v>2.4821276811304398E-2</v>
      </c>
      <c r="P28" s="37">
        <f t="shared" si="7"/>
        <v>4.3829787234042497E-3</v>
      </c>
      <c r="Q28" s="37">
        <f t="shared" si="7"/>
        <v>0</v>
      </c>
      <c r="R28" s="37">
        <f t="shared" si="7"/>
        <v>1.6043481909093601E-2</v>
      </c>
      <c r="S28" s="37">
        <f t="shared" si="7"/>
        <v>5.9317607635821796E-3</v>
      </c>
      <c r="T28" s="35">
        <f t="shared" si="7"/>
        <v>2.8063829787233999E-2</v>
      </c>
      <c r="U28" s="37">
        <f t="shared" si="7"/>
        <v>6.0567375886524796E-3</v>
      </c>
      <c r="V28" s="37">
        <f t="shared" si="7"/>
        <v>0</v>
      </c>
      <c r="W28" s="37">
        <f t="shared" si="7"/>
        <v>1.1560283687943301E-3</v>
      </c>
      <c r="X28" s="37">
        <f t="shared" si="7"/>
        <v>3.1284844996322301E-3</v>
      </c>
      <c r="Y28" s="37">
        <f t="shared" si="7"/>
        <v>9.5390070921985808E-3</v>
      </c>
      <c r="Z28" s="37">
        <f t="shared" si="7"/>
        <v>6.0001396819110804E-3</v>
      </c>
      <c r="AA28" s="37">
        <f t="shared" si="7"/>
        <v>3.1652482269503499E-2</v>
      </c>
      <c r="AB28" s="37">
        <f t="shared" si="7"/>
        <v>5.9787234042553202E-3</v>
      </c>
      <c r="AC28" s="37">
        <f t="shared" si="7"/>
        <v>0</v>
      </c>
      <c r="AD28" s="37">
        <f t="shared" si="7"/>
        <v>1.1560283687943301E-3</v>
      </c>
      <c r="AE28" s="37">
        <f t="shared" si="7"/>
        <v>3.1284844996322301E-3</v>
      </c>
      <c r="AF28" s="37">
        <f t="shared" si="7"/>
        <v>6.1712736876686301E-3</v>
      </c>
      <c r="AG28" s="37">
        <f t="shared" si="7"/>
        <v>1.14184397163121E-3</v>
      </c>
      <c r="AH28" s="37">
        <f t="shared" si="7"/>
        <v>0</v>
      </c>
      <c r="AI28" s="37">
        <f t="shared" si="7"/>
        <v>1.6482269503546101E-2</v>
      </c>
      <c r="AJ28" s="37">
        <f t="shared" si="7"/>
        <v>2.8297872340425599E-3</v>
      </c>
      <c r="AK28" s="37">
        <f t="shared" si="7"/>
        <v>2.1112365470604901E-3</v>
      </c>
      <c r="AL28" s="37">
        <f t="shared" si="7"/>
        <v>4.8510638297872303E-3</v>
      </c>
      <c r="AM28" s="37">
        <f t="shared" si="7"/>
        <v>0</v>
      </c>
      <c r="AN28" s="37">
        <f t="shared" si="7"/>
        <v>1.1702127659574499E-3</v>
      </c>
      <c r="AO28" s="37">
        <f t="shared" si="7"/>
        <v>0</v>
      </c>
      <c r="AP28" s="37">
        <f t="shared" si="7"/>
        <v>3.1652482269503499E-2</v>
      </c>
      <c r="AQ28" s="37">
        <f t="shared" si="7"/>
        <v>0</v>
      </c>
      <c r="AR28" s="37">
        <f t="shared" si="7"/>
        <v>0</v>
      </c>
      <c r="AS28" s="37">
        <f t="shared" si="7"/>
        <v>4.79432624113475E-3</v>
      </c>
      <c r="AT28" s="37">
        <f t="shared" si="7"/>
        <v>0</v>
      </c>
    </row>
    <row r="29" spans="1:46" x14ac:dyDescent="0.2">
      <c r="C29" s="36"/>
      <c r="D29" s="37"/>
      <c r="E29" s="37"/>
      <c r="F29" s="37"/>
      <c r="G29" s="37"/>
      <c r="H29" s="37"/>
      <c r="I29" s="37"/>
      <c r="J29" s="36"/>
      <c r="K29" s="37"/>
      <c r="L29" s="37"/>
      <c r="M29" s="36"/>
      <c r="N29" s="37"/>
      <c r="O29" s="37"/>
      <c r="P29" s="37"/>
      <c r="Q29" s="37"/>
      <c r="R29" s="37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</row>
    <row r="30" spans="1:46" x14ac:dyDescent="0.2">
      <c r="A30" s="21" t="s">
        <v>88</v>
      </c>
      <c r="C30" s="37">
        <f>AVERAGE(C17:C18)</f>
        <v>0.215360088419006</v>
      </c>
      <c r="D30" s="37">
        <f t="shared" ref="D30:AT30" si="8">AVERAGE(D17:D18)</f>
        <v>0.30123140203957</v>
      </c>
      <c r="E30" s="37">
        <f t="shared" si="8"/>
        <v>3.6279835915189851E-2</v>
      </c>
      <c r="F30" s="37">
        <f t="shared" si="8"/>
        <v>5.3779889567212746E-2</v>
      </c>
      <c r="G30" s="37">
        <f t="shared" si="8"/>
        <v>4.8424493202424996E-3</v>
      </c>
      <c r="H30" s="37">
        <f t="shared" si="8"/>
        <v>6.6330074052643656E-2</v>
      </c>
      <c r="I30" s="37">
        <f t="shared" si="8"/>
        <v>0.32217626068613503</v>
      </c>
      <c r="J30" s="37">
        <f t="shared" si="8"/>
        <v>0.15043111260844899</v>
      </c>
      <c r="K30" s="37">
        <f t="shared" si="8"/>
        <v>4.8385090011328694E-2</v>
      </c>
      <c r="L30" s="37">
        <f t="shared" si="8"/>
        <v>1.6543885799228015E-2</v>
      </c>
      <c r="M30" s="35">
        <f t="shared" si="8"/>
        <v>2.9230328104753851E-2</v>
      </c>
      <c r="N30" s="37">
        <f t="shared" si="8"/>
        <v>1.733804039314845E-2</v>
      </c>
      <c r="O30" s="37">
        <f t="shared" si="8"/>
        <v>3.1951175875383958E-2</v>
      </c>
      <c r="P30" s="37">
        <f t="shared" si="8"/>
        <v>4.8511458632595796E-2</v>
      </c>
      <c r="Q30" s="37">
        <f t="shared" si="8"/>
        <v>1.4082034711712801E-4</v>
      </c>
      <c r="R30" s="37">
        <f t="shared" si="8"/>
        <v>2.3259289255449952E-2</v>
      </c>
      <c r="S30" s="37">
        <f t="shared" si="8"/>
        <v>1.6624901291263901E-3</v>
      </c>
      <c r="T30" s="37">
        <f t="shared" si="8"/>
        <v>6.3880908208374301E-3</v>
      </c>
      <c r="U30" s="37">
        <f t="shared" si="8"/>
        <v>1.4210891272228299E-3</v>
      </c>
      <c r="V30" s="37">
        <f t="shared" si="8"/>
        <v>4.0953853000665595E-4</v>
      </c>
      <c r="W30" s="37">
        <f t="shared" si="8"/>
        <v>1.81485873063539E-3</v>
      </c>
      <c r="X30" s="42">
        <f t="shared" si="8"/>
        <v>6.8425346962550449E-3</v>
      </c>
      <c r="Y30" s="37">
        <f t="shared" si="8"/>
        <v>1.0691726070670121E-2</v>
      </c>
      <c r="Z30" s="37">
        <f t="shared" si="8"/>
        <v>7.6738146237598942E-4</v>
      </c>
      <c r="AA30" s="37">
        <f t="shared" si="8"/>
        <v>8.705159978285415E-3</v>
      </c>
      <c r="AB30" s="37">
        <f t="shared" si="8"/>
        <v>1.3948210112808049E-3</v>
      </c>
      <c r="AC30" s="37">
        <f t="shared" si="8"/>
        <v>0</v>
      </c>
      <c r="AD30" s="37">
        <f t="shared" si="8"/>
        <v>1.81485873063539E-3</v>
      </c>
      <c r="AE30" s="37">
        <f t="shared" si="8"/>
        <v>6.8425346962550449E-3</v>
      </c>
      <c r="AF30" s="37">
        <f t="shared" si="8"/>
        <v>9.7055722259212496E-3</v>
      </c>
      <c r="AG30" s="37">
        <f t="shared" si="8"/>
        <v>8.4185204754222399E-4</v>
      </c>
      <c r="AH30" s="37">
        <f t="shared" si="8"/>
        <v>3.6231884057971E-6</v>
      </c>
      <c r="AI30" s="37">
        <f t="shared" si="8"/>
        <v>9.7645193393024199E-4</v>
      </c>
      <c r="AJ30" s="37">
        <f t="shared" si="8"/>
        <v>2.4850763558648E-3</v>
      </c>
      <c r="AK30" s="37">
        <f t="shared" si="8"/>
        <v>2.1981770609318567E-3</v>
      </c>
      <c r="AL30" s="37">
        <f t="shared" si="8"/>
        <v>5.0996376811594205E-4</v>
      </c>
      <c r="AM30" s="37">
        <f t="shared" si="8"/>
        <v>0</v>
      </c>
      <c r="AN30" s="37">
        <f t="shared" si="8"/>
        <v>8.5634480116541394E-4</v>
      </c>
      <c r="AO30" s="37">
        <f t="shared" si="8"/>
        <v>0</v>
      </c>
      <c r="AP30" s="37">
        <f t="shared" si="8"/>
        <v>8.705159978285415E-3</v>
      </c>
      <c r="AQ30" s="37">
        <f t="shared" si="8"/>
        <v>0</v>
      </c>
      <c r="AR30" s="37">
        <f t="shared" si="8"/>
        <v>0</v>
      </c>
      <c r="AS30" s="37">
        <f t="shared" si="8"/>
        <v>4.4640700483091779E-4</v>
      </c>
      <c r="AT30" s="37">
        <f t="shared" si="8"/>
        <v>0</v>
      </c>
    </row>
    <row r="31" spans="1:46" x14ac:dyDescent="0.2">
      <c r="A31" s="21" t="s">
        <v>89</v>
      </c>
      <c r="C31" s="37">
        <f>MAX(C17:C18)</f>
        <v>0.231549723383497</v>
      </c>
      <c r="D31" s="37">
        <f t="shared" ref="D31:AT31" si="9">MAX(D17:D18)</f>
        <v>0.43599058185691802</v>
      </c>
      <c r="E31" s="37">
        <f t="shared" si="9"/>
        <v>5.9649949608157497E-2</v>
      </c>
      <c r="F31" s="37">
        <f t="shared" si="9"/>
        <v>8.2722222222222197E-2</v>
      </c>
      <c r="G31" s="37">
        <f t="shared" si="9"/>
        <v>7.7095409022243698E-3</v>
      </c>
      <c r="H31" s="37">
        <f t="shared" si="9"/>
        <v>0.102451814771954</v>
      </c>
      <c r="I31" s="37">
        <f t="shared" si="9"/>
        <v>0.47416241887824301</v>
      </c>
      <c r="J31" s="37">
        <f t="shared" si="9"/>
        <v>0.15284388307124999</v>
      </c>
      <c r="K31" s="37">
        <f t="shared" si="9"/>
        <v>5.0493055555555597E-2</v>
      </c>
      <c r="L31" s="37">
        <f t="shared" si="9"/>
        <v>3.3038325682292903E-2</v>
      </c>
      <c r="M31" s="35">
        <f t="shared" si="9"/>
        <v>3.4953711765063303E-2</v>
      </c>
      <c r="N31" s="37">
        <f t="shared" si="9"/>
        <v>2.2291666666666699E-2</v>
      </c>
      <c r="O31" s="37">
        <f t="shared" si="9"/>
        <v>5.4666240639656798E-2</v>
      </c>
      <c r="P31" s="37">
        <f t="shared" si="9"/>
        <v>8.4046119923425894E-2</v>
      </c>
      <c r="Q31" s="37">
        <f t="shared" si="9"/>
        <v>2.8164069423425601E-4</v>
      </c>
      <c r="R31" s="37">
        <f t="shared" si="9"/>
        <v>3.7581078510899903E-2</v>
      </c>
      <c r="S31" s="37">
        <f t="shared" si="9"/>
        <v>2.0763888888888902E-3</v>
      </c>
      <c r="T31" s="37">
        <f t="shared" si="9"/>
        <v>8.0331260861193007E-3</v>
      </c>
      <c r="U31" s="37">
        <f t="shared" si="9"/>
        <v>1.57828936555677E-3</v>
      </c>
      <c r="V31" s="37">
        <f t="shared" si="9"/>
        <v>8.0518817112442298E-4</v>
      </c>
      <c r="W31" s="37">
        <f t="shared" si="9"/>
        <v>2.0880507946041101E-3</v>
      </c>
      <c r="X31" s="42">
        <f t="shared" si="9"/>
        <v>9.7614582813989794E-3</v>
      </c>
      <c r="Y31" s="37">
        <f t="shared" si="9"/>
        <v>1.1439007696895801E-2</v>
      </c>
      <c r="Z31" s="37">
        <f t="shared" si="9"/>
        <v>1.3958740358630899E-3</v>
      </c>
      <c r="AA31" s="37">
        <f t="shared" si="9"/>
        <v>9.0972222222222201E-3</v>
      </c>
      <c r="AB31" s="37">
        <f t="shared" si="9"/>
        <v>1.4840864670060501E-3</v>
      </c>
      <c r="AC31" s="37">
        <f t="shared" si="9"/>
        <v>0</v>
      </c>
      <c r="AD31" s="37">
        <f t="shared" si="9"/>
        <v>2.0880507946041101E-3</v>
      </c>
      <c r="AE31" s="37">
        <f t="shared" si="9"/>
        <v>9.7614582813989794E-3</v>
      </c>
      <c r="AF31" s="37">
        <f t="shared" si="9"/>
        <v>1.1911144451842499E-2</v>
      </c>
      <c r="AG31" s="37">
        <f t="shared" si="9"/>
        <v>1.3434263173066701E-3</v>
      </c>
      <c r="AH31" s="37">
        <f t="shared" si="9"/>
        <v>7.2463768115942E-6</v>
      </c>
      <c r="AI31" s="37">
        <f t="shared" si="9"/>
        <v>1.69595942341604E-3</v>
      </c>
      <c r="AJ31" s="37">
        <f t="shared" si="9"/>
        <v>3.1944444444444399E-3</v>
      </c>
      <c r="AK31" s="37">
        <f t="shared" si="9"/>
        <v>3.9380207885303803E-3</v>
      </c>
      <c r="AL31" s="37">
        <f t="shared" si="9"/>
        <v>8.7500000000000002E-4</v>
      </c>
      <c r="AM31" s="37">
        <f t="shared" si="9"/>
        <v>0</v>
      </c>
      <c r="AN31" s="37">
        <f t="shared" si="9"/>
        <v>1.37241182455305E-3</v>
      </c>
      <c r="AO31" s="37">
        <f t="shared" si="9"/>
        <v>0</v>
      </c>
      <c r="AP31" s="37">
        <f t="shared" si="9"/>
        <v>9.0972222222222201E-3</v>
      </c>
      <c r="AQ31" s="37">
        <f t="shared" si="9"/>
        <v>0</v>
      </c>
      <c r="AR31" s="37">
        <f t="shared" si="9"/>
        <v>0</v>
      </c>
      <c r="AS31" s="37">
        <f t="shared" si="9"/>
        <v>7.9861111111111105E-4</v>
      </c>
      <c r="AT31" s="37">
        <f t="shared" si="9"/>
        <v>0</v>
      </c>
    </row>
    <row r="32" spans="1:46" x14ac:dyDescent="0.2">
      <c r="A32" s="21" t="s">
        <v>90</v>
      </c>
      <c r="C32" s="37">
        <f>MIN(C17:C18)</f>
        <v>0.19917045345451501</v>
      </c>
      <c r="D32" s="37">
        <f t="shared" ref="D32:AT32" si="10">MIN(D17:D18)</f>
        <v>0.16647222222222199</v>
      </c>
      <c r="E32" s="37">
        <f t="shared" si="10"/>
        <v>1.2909722222222199E-2</v>
      </c>
      <c r="F32" s="37">
        <f t="shared" si="10"/>
        <v>2.4837556912203299E-2</v>
      </c>
      <c r="G32" s="37">
        <f t="shared" si="10"/>
        <v>1.9753577382606302E-3</v>
      </c>
      <c r="H32" s="37">
        <f t="shared" si="10"/>
        <v>3.0208333333333299E-2</v>
      </c>
      <c r="I32" s="37">
        <f t="shared" si="10"/>
        <v>0.170190102494027</v>
      </c>
      <c r="J32" s="37">
        <f t="shared" si="10"/>
        <v>0.14801834214564799</v>
      </c>
      <c r="K32" s="37">
        <f t="shared" si="10"/>
        <v>4.6277124467101798E-2</v>
      </c>
      <c r="L32" s="37">
        <f t="shared" si="10"/>
        <v>4.9445916163129097E-5</v>
      </c>
      <c r="M32" s="35">
        <f t="shared" si="10"/>
        <v>2.35069444444444E-2</v>
      </c>
      <c r="N32" s="37">
        <f t="shared" si="10"/>
        <v>1.23844141196302E-2</v>
      </c>
      <c r="O32" s="37">
        <f t="shared" si="10"/>
        <v>9.2361111111111203E-3</v>
      </c>
      <c r="P32" s="37">
        <f t="shared" si="10"/>
        <v>1.2976797341765701E-2</v>
      </c>
      <c r="Q32" s="37">
        <f t="shared" si="10"/>
        <v>0</v>
      </c>
      <c r="R32" s="37">
        <f t="shared" si="10"/>
        <v>8.9374999999999993E-3</v>
      </c>
      <c r="S32" s="37">
        <f t="shared" si="10"/>
        <v>1.24859136936389E-3</v>
      </c>
      <c r="T32" s="37">
        <f t="shared" si="10"/>
        <v>4.7430555555555603E-3</v>
      </c>
      <c r="U32" s="37">
        <f t="shared" si="10"/>
        <v>1.2638888888888899E-3</v>
      </c>
      <c r="V32" s="37">
        <f t="shared" si="10"/>
        <v>1.38888888888889E-5</v>
      </c>
      <c r="W32" s="37">
        <f t="shared" si="10"/>
        <v>1.5416666666666699E-3</v>
      </c>
      <c r="X32" s="42">
        <f t="shared" si="10"/>
        <v>3.9236111111111104E-3</v>
      </c>
      <c r="Y32" s="37">
        <f t="shared" si="10"/>
        <v>9.9444444444444398E-3</v>
      </c>
      <c r="Z32" s="37">
        <f t="shared" si="10"/>
        <v>1.38888888888889E-4</v>
      </c>
      <c r="AA32" s="37">
        <f t="shared" si="10"/>
        <v>8.3130977343486099E-3</v>
      </c>
      <c r="AB32" s="37">
        <f t="shared" si="10"/>
        <v>1.30555555555556E-3</v>
      </c>
      <c r="AC32" s="37">
        <f t="shared" si="10"/>
        <v>0</v>
      </c>
      <c r="AD32" s="37">
        <f t="shared" si="10"/>
        <v>1.5416666666666699E-3</v>
      </c>
      <c r="AE32" s="37">
        <f t="shared" si="10"/>
        <v>3.9236111111111104E-3</v>
      </c>
      <c r="AF32" s="37">
        <f t="shared" si="10"/>
        <v>7.4999999999999997E-3</v>
      </c>
      <c r="AG32" s="37">
        <f t="shared" si="10"/>
        <v>3.40277777777778E-4</v>
      </c>
      <c r="AH32" s="37">
        <f t="shared" si="10"/>
        <v>0</v>
      </c>
      <c r="AI32" s="37">
        <f t="shared" si="10"/>
        <v>2.5694444444444397E-4</v>
      </c>
      <c r="AJ32" s="37">
        <f t="shared" si="10"/>
        <v>1.7757082672851599E-3</v>
      </c>
      <c r="AK32" s="37">
        <f t="shared" si="10"/>
        <v>4.58333333333333E-4</v>
      </c>
      <c r="AL32" s="37">
        <f t="shared" si="10"/>
        <v>1.44927536231884E-4</v>
      </c>
      <c r="AM32" s="37">
        <f t="shared" si="10"/>
        <v>0</v>
      </c>
      <c r="AN32" s="37">
        <f t="shared" si="10"/>
        <v>3.40277777777778E-4</v>
      </c>
      <c r="AO32" s="37">
        <f t="shared" si="10"/>
        <v>0</v>
      </c>
      <c r="AP32" s="37">
        <f t="shared" si="10"/>
        <v>8.3130977343486099E-3</v>
      </c>
      <c r="AQ32" s="37">
        <f t="shared" si="10"/>
        <v>0</v>
      </c>
      <c r="AR32" s="37">
        <f t="shared" si="10"/>
        <v>0</v>
      </c>
      <c r="AS32" s="37">
        <f t="shared" si="10"/>
        <v>9.4202898550724593E-5</v>
      </c>
      <c r="AT32" s="37">
        <f t="shared" si="10"/>
        <v>0</v>
      </c>
    </row>
    <row r="33" spans="1:35" x14ac:dyDescent="0.2">
      <c r="S33" s="5">
        <f>S22/SUM($S22:$Y22)</f>
        <v>7.6904807277700063E-2</v>
      </c>
      <c r="T33" s="5">
        <f t="shared" ref="T33:Y33" si="11">T22/SUM($S22:$Y22)</f>
        <v>0.4648867360542594</v>
      </c>
      <c r="U33" s="5">
        <f t="shared" si="11"/>
        <v>0.26970357723697863</v>
      </c>
      <c r="V33" s="5">
        <f t="shared" si="11"/>
        <v>1.3164965110296733E-2</v>
      </c>
      <c r="W33" s="5">
        <f t="shared" si="11"/>
        <v>0.10345106577192462</v>
      </c>
      <c r="X33" s="5">
        <f t="shared" si="11"/>
        <v>1.081501553620527E-2</v>
      </c>
      <c r="Y33" s="5">
        <f t="shared" si="11"/>
        <v>6.1073833012635179E-2</v>
      </c>
    </row>
    <row r="34" spans="1:35" ht="145" x14ac:dyDescent="0.2">
      <c r="C34" s="6" t="s">
        <v>63</v>
      </c>
      <c r="D34" s="7" t="s">
        <v>64</v>
      </c>
      <c r="E34" s="8" t="s">
        <v>65</v>
      </c>
      <c r="F34" s="9" t="s">
        <v>66</v>
      </c>
      <c r="G34" s="10" t="s">
        <v>67</v>
      </c>
      <c r="H34" s="11" t="s">
        <v>68</v>
      </c>
      <c r="I34" s="12" t="s">
        <v>69</v>
      </c>
      <c r="J34" s="15" t="s">
        <v>70</v>
      </c>
      <c r="K34" s="13" t="s">
        <v>71</v>
      </c>
      <c r="L34" s="14" t="s">
        <v>72</v>
      </c>
      <c r="M34" s="19" t="s">
        <v>73</v>
      </c>
      <c r="N34" s="17" t="s">
        <v>74</v>
      </c>
      <c r="O34" s="16" t="s">
        <v>75</v>
      </c>
      <c r="P34" s="18" t="s">
        <v>76</v>
      </c>
      <c r="Q34" s="3" t="s">
        <v>78</v>
      </c>
      <c r="R34" s="20" t="s">
        <v>79</v>
      </c>
      <c r="S34" s="3" t="s">
        <v>77</v>
      </c>
    </row>
    <row r="35" spans="1:35" x14ac:dyDescent="0.2">
      <c r="A35" t="s">
        <v>62</v>
      </c>
      <c r="B35">
        <v>37</v>
      </c>
      <c r="C35" s="5">
        <f t="shared" ref="C35:C53" si="12">SUM(D2:I2)</f>
        <v>0.65110849152966122</v>
      </c>
      <c r="D35" s="5">
        <f t="shared" ref="D35:D53" si="13">C2-J2</f>
        <v>0.135298278152542</v>
      </c>
      <c r="E35" s="5">
        <f t="shared" ref="E35:E53" si="14">J2-M2</f>
        <v>0.13720932598767599</v>
      </c>
      <c r="F35" s="5">
        <f t="shared" ref="F35:F53" si="15">AM2</f>
        <v>1.3518019520020199E-4</v>
      </c>
      <c r="G35" s="5">
        <f t="shared" ref="G35:G53" si="16">S2-F35</f>
        <v>0</v>
      </c>
      <c r="J35" s="5">
        <f t="shared" ref="J35:J53" si="17">AL2</f>
        <v>3.12122580842338E-2</v>
      </c>
      <c r="K35" s="5">
        <f t="shared" ref="K35:K53" si="18">AG2</f>
        <v>7.29855982108234E-4</v>
      </c>
      <c r="L35" s="5">
        <f t="shared" ref="L35:L53" si="19">U2-SUM(J35:K35)</f>
        <v>1.9370180991802599E-3</v>
      </c>
      <c r="M35" s="5">
        <f t="shared" ref="M35:M53" si="20">AI2</f>
        <v>1.04691448204962E-2</v>
      </c>
      <c r="N35" s="5">
        <f t="shared" ref="N35:O35" si="21">AJ2</f>
        <v>2.70540811081351E-5</v>
      </c>
      <c r="O35" s="5">
        <f t="shared" si="21"/>
        <v>0</v>
      </c>
      <c r="P35" s="5">
        <f t="shared" ref="P35:P53" si="22">T2-SUM(M35:O35)</f>
        <v>-3.4694469519536142E-17</v>
      </c>
      <c r="Q35" s="5">
        <f>AD2</f>
        <v>2.0662831262782001E-2</v>
      </c>
      <c r="R35" s="5">
        <f>AE2</f>
        <v>3.1280378636614498E-3</v>
      </c>
      <c r="S35" s="5">
        <f t="shared" ref="S35:S53" si="23">M2-SUM(F35:R35)</f>
        <v>8.0825239413507555E-3</v>
      </c>
      <c r="T35" s="5">
        <f t="shared" ref="T35:T53" si="24">SUM(C35:S35)</f>
        <v>1.0000000000000002</v>
      </c>
    </row>
    <row r="36" spans="1:35" x14ac:dyDescent="0.2">
      <c r="A36" t="s">
        <v>0</v>
      </c>
      <c r="B36">
        <v>37</v>
      </c>
      <c r="C36" s="5">
        <f t="shared" si="12"/>
        <v>0.36289128615448213</v>
      </c>
      <c r="D36" s="5">
        <f t="shared" si="13"/>
        <v>8.7569321681647994E-2</v>
      </c>
      <c r="E36" s="5">
        <f t="shared" si="14"/>
        <v>0.51088429891856801</v>
      </c>
      <c r="F36" s="5">
        <f t="shared" si="15"/>
        <v>0</v>
      </c>
      <c r="G36" s="5">
        <f t="shared" si="16"/>
        <v>3.1811029988861E-3</v>
      </c>
      <c r="J36" s="5">
        <f t="shared" si="17"/>
        <v>1.55868179490468E-3</v>
      </c>
      <c r="K36" s="5">
        <f t="shared" si="18"/>
        <v>1.27934840144916E-3</v>
      </c>
      <c r="L36" s="5">
        <f t="shared" si="19"/>
        <v>3.513513513513501E-4</v>
      </c>
      <c r="M36" s="5">
        <f t="shared" si="20"/>
        <v>1.1318754079368E-2</v>
      </c>
      <c r="N36" s="5">
        <f t="shared" ref="N36:N53" si="25">AJ3</f>
        <v>2.40570900229225E-3</v>
      </c>
      <c r="O36" s="5">
        <f t="shared" ref="O36:O53" si="26">AK3</f>
        <v>2.0091923254418899E-3</v>
      </c>
      <c r="P36" s="5">
        <f t="shared" si="22"/>
        <v>-3.8163916471489756E-17</v>
      </c>
      <c r="Q36" s="5">
        <f t="shared" ref="Q36:R36" si="27">AD3</f>
        <v>3.6396666877067298E-3</v>
      </c>
      <c r="R36" s="5">
        <f t="shared" si="27"/>
        <v>2.34236638039107E-3</v>
      </c>
      <c r="S36" s="5">
        <f t="shared" si="23"/>
        <v>1.056892022351081E-2</v>
      </c>
      <c r="T36" s="5">
        <f t="shared" si="24"/>
        <v>1.0000000000000002</v>
      </c>
    </row>
    <row r="37" spans="1:35" x14ac:dyDescent="0.2">
      <c r="A37" t="s">
        <v>1</v>
      </c>
      <c r="B37">
        <v>9</v>
      </c>
      <c r="C37" s="5">
        <f t="shared" si="12"/>
        <v>0.29284539532865045</v>
      </c>
      <c r="D37" s="5">
        <f t="shared" si="13"/>
        <v>0.32315542759126403</v>
      </c>
      <c r="E37" s="5">
        <f t="shared" si="14"/>
        <v>0.21173909912318301</v>
      </c>
      <c r="F37" s="5">
        <f t="shared" si="15"/>
        <v>2.3755396078751E-2</v>
      </c>
      <c r="G37" s="5">
        <f t="shared" si="16"/>
        <v>3.9649894750911005E-3</v>
      </c>
      <c r="J37" s="5">
        <f t="shared" si="17"/>
        <v>4.4467921171762702E-3</v>
      </c>
      <c r="K37" s="5">
        <f t="shared" si="18"/>
        <v>2.0752974209767498E-3</v>
      </c>
      <c r="L37" s="5">
        <f t="shared" si="19"/>
        <v>3.3348158034579925E-4</v>
      </c>
      <c r="M37" s="5">
        <f t="shared" si="20"/>
        <v>3.14966808780799E-3</v>
      </c>
      <c r="N37" s="5">
        <f t="shared" si="25"/>
        <v>6.0401513698560604E-3</v>
      </c>
      <c r="O37" s="5">
        <f t="shared" si="26"/>
        <v>3.2981621373857298E-3</v>
      </c>
      <c r="P37" s="5">
        <f t="shared" si="22"/>
        <v>8.1518556421452011E-4</v>
      </c>
      <c r="Q37" s="5">
        <f t="shared" ref="Q37" si="28">AD4</f>
        <v>2.34155852881964E-2</v>
      </c>
      <c r="R37" s="5">
        <f>AE4</f>
        <v>7.3620086632418702E-2</v>
      </c>
      <c r="S37" s="5">
        <f t="shared" si="23"/>
        <v>2.7345282204681687E-2</v>
      </c>
      <c r="T37" s="5">
        <f t="shared" si="24"/>
        <v>0.99999999999999967</v>
      </c>
    </row>
    <row r="38" spans="1:35" x14ac:dyDescent="0.2">
      <c r="A38" t="s">
        <v>2</v>
      </c>
      <c r="B38">
        <v>12</v>
      </c>
      <c r="C38" s="5">
        <f t="shared" si="12"/>
        <v>0.68362238623971605</v>
      </c>
      <c r="D38" s="5">
        <f t="shared" si="13"/>
        <v>8.1535220655583995E-2</v>
      </c>
      <c r="E38" s="5">
        <f t="shared" si="14"/>
        <v>0.16274565816925629</v>
      </c>
      <c r="F38" s="5">
        <f t="shared" si="15"/>
        <v>2.7777777777777799E-5</v>
      </c>
      <c r="G38" s="5">
        <f t="shared" si="16"/>
        <v>2.7510474922912424E-3</v>
      </c>
      <c r="J38" s="5">
        <f t="shared" si="17"/>
        <v>1.0116915573823E-2</v>
      </c>
      <c r="K38" s="5">
        <f t="shared" si="18"/>
        <v>4.1683908603732797E-3</v>
      </c>
      <c r="L38" s="5">
        <f t="shared" si="19"/>
        <v>6.3907059226004197E-3</v>
      </c>
      <c r="M38" s="5">
        <f t="shared" si="20"/>
        <v>6.4472344703968799E-3</v>
      </c>
      <c r="N38" s="5">
        <f t="shared" si="25"/>
        <v>6.5595241257622398E-3</v>
      </c>
      <c r="O38" s="5">
        <f t="shared" si="26"/>
        <v>5.4188912065160303E-3</v>
      </c>
      <c r="P38" s="5">
        <f t="shared" si="22"/>
        <v>7.7813011185504793E-4</v>
      </c>
      <c r="Q38" s="5">
        <f t="shared" ref="Q38:R38" si="29">AD5</f>
        <v>4.4476059531242196E-3</v>
      </c>
      <c r="R38" s="5">
        <f t="shared" si="29"/>
        <v>9.0081937312648797E-3</v>
      </c>
      <c r="S38" s="5">
        <f t="shared" si="23"/>
        <v>1.5982317709658689E-2</v>
      </c>
      <c r="T38" s="5">
        <f t="shared" si="24"/>
        <v>1</v>
      </c>
    </row>
    <row r="39" spans="1:35" x14ac:dyDescent="0.2">
      <c r="A39" t="s">
        <v>3</v>
      </c>
      <c r="B39">
        <v>4</v>
      </c>
      <c r="C39" s="5">
        <f t="shared" si="12"/>
        <v>4.209605482422972E-2</v>
      </c>
      <c r="D39" s="5">
        <f t="shared" si="13"/>
        <v>5.5553100816060352E-3</v>
      </c>
      <c r="E39" s="5">
        <f t="shared" si="14"/>
        <v>0.63889582666573896</v>
      </c>
      <c r="F39" s="5">
        <f t="shared" si="15"/>
        <v>0</v>
      </c>
      <c r="G39" s="5">
        <f t="shared" si="16"/>
        <v>6.9387677199108603E-3</v>
      </c>
      <c r="J39" s="5">
        <f t="shared" si="17"/>
        <v>0.1497680642682</v>
      </c>
      <c r="K39" s="5">
        <f t="shared" si="18"/>
        <v>1.32392415442432E-2</v>
      </c>
      <c r="L39" s="5">
        <f t="shared" si="19"/>
        <v>3.8616997248291818E-2</v>
      </c>
      <c r="M39" s="5">
        <f t="shared" si="20"/>
        <v>3.7017341751134601E-2</v>
      </c>
      <c r="N39" s="5">
        <f t="shared" si="25"/>
        <v>2.4735345438991301E-3</v>
      </c>
      <c r="O39" s="5">
        <f t="shared" si="26"/>
        <v>2.27686703096539E-4</v>
      </c>
      <c r="P39" s="5">
        <f t="shared" si="22"/>
        <v>-6.2450045135165055E-17</v>
      </c>
      <c r="Q39" s="5">
        <f t="shared" ref="Q39:R39" si="30">AD6</f>
        <v>3.2394398847583397E-2</v>
      </c>
      <c r="R39" s="5">
        <f t="shared" si="30"/>
        <v>1.0119350099139999E-2</v>
      </c>
      <c r="S39" s="5">
        <f t="shared" si="23"/>
        <v>2.2657425702925504E-2</v>
      </c>
      <c r="T39" s="5">
        <f t="shared" si="24"/>
        <v>0.99999999999999967</v>
      </c>
    </row>
    <row r="40" spans="1:35" x14ac:dyDescent="0.2">
      <c r="A40" t="s">
        <v>4</v>
      </c>
      <c r="B40">
        <v>101</v>
      </c>
      <c r="C40" s="5">
        <f t="shared" si="12"/>
        <v>0.44652805280528102</v>
      </c>
      <c r="D40" s="5">
        <f t="shared" si="13"/>
        <v>0.10378217821782204</v>
      </c>
      <c r="E40" s="5">
        <f t="shared" si="14"/>
        <v>0.29176237623762402</v>
      </c>
      <c r="F40" s="5">
        <f t="shared" si="15"/>
        <v>5.05610561056106E-3</v>
      </c>
      <c r="G40" s="5">
        <f t="shared" si="16"/>
        <v>1.7455445544554443E-2</v>
      </c>
      <c r="J40" s="5">
        <f t="shared" si="17"/>
        <v>6.3399339933993401E-3</v>
      </c>
      <c r="K40" s="5">
        <f t="shared" si="18"/>
        <v>2.1782178217821799E-4</v>
      </c>
      <c r="L40" s="5">
        <f t="shared" si="19"/>
        <v>9.90099009901017E-5</v>
      </c>
      <c r="M40" s="5">
        <f t="shared" si="20"/>
        <v>9.9871287128712793E-2</v>
      </c>
      <c r="N40" s="5">
        <f t="shared" si="25"/>
        <v>1.02409240924092E-2</v>
      </c>
      <c r="O40" s="5">
        <f t="shared" si="26"/>
        <v>5.6468646864686499E-3</v>
      </c>
      <c r="P40" s="5">
        <f t="shared" si="22"/>
        <v>1.4851485148513616E-3</v>
      </c>
      <c r="Q40" s="5">
        <f t="shared" ref="Q40:R40" si="31">AD7</f>
        <v>1.6600660066006601E-3</v>
      </c>
      <c r="R40" s="5">
        <f t="shared" si="31"/>
        <v>2E-3</v>
      </c>
      <c r="S40" s="5">
        <f t="shared" si="23"/>
        <v>7.8547854785481763E-3</v>
      </c>
      <c r="T40" s="5">
        <f t="shared" si="24"/>
        <v>1.0000000000000011</v>
      </c>
    </row>
    <row r="41" spans="1:35" x14ac:dyDescent="0.2">
      <c r="A41" t="s">
        <v>5</v>
      </c>
      <c r="B41">
        <v>539</v>
      </c>
      <c r="C41" s="5">
        <f t="shared" si="12"/>
        <v>0.269147415390599</v>
      </c>
      <c r="D41" s="5">
        <f t="shared" si="13"/>
        <v>0.21874037450007</v>
      </c>
      <c r="E41" s="5">
        <f t="shared" si="14"/>
        <v>0.19668542779971393</v>
      </c>
      <c r="F41" s="5">
        <f t="shared" si="15"/>
        <v>2.2226425528100802E-3</v>
      </c>
      <c r="G41" s="5">
        <f t="shared" si="16"/>
        <v>3.7762595168919423E-2</v>
      </c>
      <c r="J41" s="5">
        <f t="shared" si="17"/>
        <v>5.3011995219844898E-2</v>
      </c>
      <c r="K41" s="5">
        <f t="shared" si="18"/>
        <v>5.9926160008837398E-4</v>
      </c>
      <c r="L41" s="5">
        <f t="shared" si="19"/>
        <v>1.9066266846819308E-3</v>
      </c>
      <c r="M41" s="5">
        <f t="shared" si="20"/>
        <v>0.1752147246197</v>
      </c>
      <c r="N41" s="5">
        <f t="shared" si="25"/>
        <v>1.2275284957192E-2</v>
      </c>
      <c r="O41" s="5">
        <f t="shared" si="26"/>
        <v>9.8948670377242001E-6</v>
      </c>
      <c r="P41" s="5">
        <f t="shared" si="22"/>
        <v>2.0408287075027176E-4</v>
      </c>
      <c r="Q41" s="5">
        <f t="shared" ref="Q41:R41" si="32">AD8</f>
        <v>3.6580563247333299E-3</v>
      </c>
      <c r="R41" s="5">
        <f t="shared" si="32"/>
        <v>1.41991672095413E-3</v>
      </c>
      <c r="S41" s="5">
        <f t="shared" si="23"/>
        <v>2.7141700722904838E-2</v>
      </c>
      <c r="T41" s="5">
        <f t="shared" si="24"/>
        <v>1</v>
      </c>
    </row>
    <row r="42" spans="1:35" x14ac:dyDescent="0.2">
      <c r="A42" t="s">
        <v>6</v>
      </c>
      <c r="B42">
        <v>294</v>
      </c>
      <c r="C42" s="5">
        <f t="shared" si="12"/>
        <v>0.36072196029898185</v>
      </c>
      <c r="D42" s="5">
        <f t="shared" si="13"/>
        <v>0.26095808289215605</v>
      </c>
      <c r="E42" s="5">
        <f t="shared" si="14"/>
        <v>0.24127696876612398</v>
      </c>
      <c r="F42" s="5">
        <f t="shared" si="15"/>
        <v>4.3083900226757302E-5</v>
      </c>
      <c r="G42" s="5">
        <f t="shared" si="16"/>
        <v>2.9931972789115668E-4</v>
      </c>
      <c r="J42" s="5">
        <f t="shared" si="17"/>
        <v>7.7747716805370196E-2</v>
      </c>
      <c r="K42" s="5">
        <f t="shared" si="18"/>
        <v>1.2902517019407901E-3</v>
      </c>
      <c r="L42" s="5">
        <f t="shared" si="19"/>
        <v>1.7165786232132135E-3</v>
      </c>
      <c r="M42" s="5">
        <f t="shared" si="20"/>
        <v>2.4380206185943599E-2</v>
      </c>
      <c r="N42" s="5">
        <f t="shared" si="25"/>
        <v>2.9195257106384102E-3</v>
      </c>
      <c r="O42" s="5">
        <f t="shared" si="26"/>
        <v>1.7347241269925301E-4</v>
      </c>
      <c r="P42" s="5">
        <f t="shared" si="22"/>
        <v>7.3696145124736712E-5</v>
      </c>
      <c r="Q42" s="5">
        <f t="shared" ref="Q42:R42" si="33">AD9</f>
        <v>2.0641759654077899E-2</v>
      </c>
      <c r="R42" s="5">
        <f t="shared" si="33"/>
        <v>1.7505668934240401E-3</v>
      </c>
      <c r="S42" s="5">
        <f t="shared" si="23"/>
        <v>6.006810282187941E-3</v>
      </c>
      <c r="T42" s="5">
        <f t="shared" si="24"/>
        <v>0.99999999999999978</v>
      </c>
    </row>
    <row r="43" spans="1:35" x14ac:dyDescent="0.2">
      <c r="A43" t="s">
        <v>7</v>
      </c>
      <c r="B43">
        <v>80</v>
      </c>
      <c r="C43" s="5">
        <f t="shared" si="12"/>
        <v>0.74881069637681075</v>
      </c>
      <c r="D43" s="5">
        <f t="shared" si="13"/>
        <v>8.4608760560454965E-2</v>
      </c>
      <c r="E43" s="5">
        <f t="shared" si="14"/>
        <v>9.8923764911661105E-2</v>
      </c>
      <c r="F43" s="5">
        <f t="shared" si="15"/>
        <v>0</v>
      </c>
      <c r="G43" s="5">
        <f t="shared" si="16"/>
        <v>1.3381718386227899E-3</v>
      </c>
      <c r="J43" s="5">
        <f t="shared" si="17"/>
        <v>1.0601075364356401E-2</v>
      </c>
      <c r="K43" s="5">
        <f t="shared" si="18"/>
        <v>5.8384814554343601E-5</v>
      </c>
      <c r="L43" s="5">
        <f t="shared" si="19"/>
        <v>-4.5102810375396984E-17</v>
      </c>
      <c r="M43" s="5">
        <f t="shared" si="20"/>
        <v>4.9377594054337899E-2</v>
      </c>
      <c r="N43" s="5">
        <f t="shared" si="25"/>
        <v>1.9973008402387402E-3</v>
      </c>
      <c r="O43" s="5">
        <f t="shared" si="26"/>
        <v>1.4596434861554301E-4</v>
      </c>
      <c r="P43" s="5">
        <f t="shared" si="22"/>
        <v>8.3361120374186859E-6</v>
      </c>
      <c r="Q43" s="5">
        <f t="shared" ref="Q43:R43" si="34">AD10</f>
        <v>3.6169031539781001E-3</v>
      </c>
      <c r="R43" s="5">
        <f t="shared" si="34"/>
        <v>4.5848628264697E-5</v>
      </c>
      <c r="S43" s="5">
        <f t="shared" si="23"/>
        <v>4.6719899606803561E-4</v>
      </c>
      <c r="T43" s="5">
        <f t="shared" si="24"/>
        <v>1.0000000000000009</v>
      </c>
    </row>
    <row r="44" spans="1:35" x14ac:dyDescent="0.2">
      <c r="A44" t="s">
        <v>8</v>
      </c>
      <c r="B44">
        <v>24</v>
      </c>
      <c r="C44" s="5">
        <f t="shared" si="12"/>
        <v>0.1289786219800152</v>
      </c>
      <c r="D44" s="5">
        <f t="shared" si="13"/>
        <v>8.4470928011456059E-2</v>
      </c>
      <c r="E44" s="5">
        <f t="shared" si="14"/>
        <v>0.38026606750586694</v>
      </c>
      <c r="F44" s="5">
        <f t="shared" si="15"/>
        <v>4.52161331162958E-5</v>
      </c>
      <c r="G44" s="5">
        <f t="shared" si="16"/>
        <v>1.5967808138174805E-2</v>
      </c>
      <c r="J44" s="5">
        <f t="shared" si="17"/>
        <v>9.7540895938654906E-2</v>
      </c>
      <c r="K44" s="5">
        <f t="shared" si="18"/>
        <v>1.04638137717924E-2</v>
      </c>
      <c r="L44" s="5">
        <f t="shared" si="19"/>
        <v>9.6450472827596945E-3</v>
      </c>
      <c r="M44" s="5">
        <f t="shared" si="20"/>
        <v>8.5148948004807407E-2</v>
      </c>
      <c r="N44" s="5">
        <f t="shared" si="25"/>
        <v>1.8292915307974101E-2</v>
      </c>
      <c r="O44" s="5">
        <f t="shared" si="26"/>
        <v>3.0297732389978E-4</v>
      </c>
      <c r="P44" s="5">
        <f t="shared" si="22"/>
        <v>5.7462062771772293E-4</v>
      </c>
      <c r="Q44" s="5">
        <f t="shared" ref="Q44:R44" si="35">AD11</f>
        <v>0.13976985310488599</v>
      </c>
      <c r="R44" s="5">
        <f t="shared" si="35"/>
        <v>1.1369321069203501E-2</v>
      </c>
      <c r="S44" s="5">
        <f t="shared" si="23"/>
        <v>1.7162965799675411E-2</v>
      </c>
      <c r="T44" s="5">
        <f t="shared" si="24"/>
        <v>1.0000000000000002</v>
      </c>
    </row>
    <row r="45" spans="1:35" x14ac:dyDescent="0.2">
      <c r="A45" t="s">
        <v>9</v>
      </c>
      <c r="B45">
        <v>46</v>
      </c>
      <c r="C45" s="5">
        <f t="shared" si="12"/>
        <v>0.67814492753623223</v>
      </c>
      <c r="D45" s="5">
        <f t="shared" si="13"/>
        <v>9.5376811594202998E-2</v>
      </c>
      <c r="E45" s="5">
        <f t="shared" si="14"/>
        <v>9.3862318840578995E-2</v>
      </c>
      <c r="F45" s="5">
        <f t="shared" si="15"/>
        <v>5.8695652173913E-4</v>
      </c>
      <c r="G45" s="5">
        <f t="shared" si="16"/>
        <v>1.6159420289855099E-3</v>
      </c>
      <c r="J45" s="5">
        <f t="shared" si="17"/>
        <v>1.3007246376811599E-2</v>
      </c>
      <c r="K45" s="5">
        <f t="shared" si="18"/>
        <v>4.6376811594202902E-4</v>
      </c>
      <c r="L45" s="5">
        <f t="shared" si="19"/>
        <v>1.884057971014725E-4</v>
      </c>
      <c r="M45" s="5">
        <f t="shared" si="20"/>
        <v>8.6623188405797094E-2</v>
      </c>
      <c r="N45" s="5">
        <f t="shared" si="25"/>
        <v>8.5724637681159396E-3</v>
      </c>
      <c r="O45" s="5">
        <f t="shared" si="26"/>
        <v>2.17391304347826E-5</v>
      </c>
      <c r="P45" s="5">
        <f t="shared" si="22"/>
        <v>9.5652173913049476E-4</v>
      </c>
      <c r="Q45" s="5">
        <f t="shared" ref="Q45:R45" si="36">AD12</f>
        <v>5.8695652173913E-4</v>
      </c>
      <c r="R45" s="5">
        <f t="shared" si="36"/>
        <v>5.36231884057971E-4</v>
      </c>
      <c r="S45" s="5">
        <f t="shared" si="23"/>
        <v>1.9456521739130844E-2</v>
      </c>
      <c r="T45" s="5">
        <f t="shared" si="24"/>
        <v>1.0000000000000002</v>
      </c>
    </row>
    <row r="46" spans="1:35" x14ac:dyDescent="0.2">
      <c r="A46" t="s">
        <v>10</v>
      </c>
      <c r="B46">
        <v>608</v>
      </c>
      <c r="C46" s="5">
        <f t="shared" si="12"/>
        <v>0.30128581409315264</v>
      </c>
      <c r="D46" s="5">
        <f t="shared" si="13"/>
        <v>0.14223721619145402</v>
      </c>
      <c r="E46" s="5">
        <f t="shared" si="14"/>
        <v>0.19334818008847898</v>
      </c>
      <c r="F46" s="5">
        <f t="shared" si="15"/>
        <v>2.0307862790890301E-2</v>
      </c>
      <c r="G46" s="5">
        <f t="shared" si="16"/>
        <v>2.9793668637771401E-2</v>
      </c>
      <c r="J46" s="5">
        <f t="shared" si="17"/>
        <v>5.8660863906360501E-2</v>
      </c>
      <c r="K46" s="5">
        <f t="shared" si="18"/>
        <v>1.1189813716097001E-3</v>
      </c>
      <c r="L46" s="5">
        <f t="shared" si="19"/>
        <v>3.7997849511205994E-3</v>
      </c>
      <c r="M46" s="5">
        <f t="shared" si="20"/>
        <v>0.157455949620808</v>
      </c>
      <c r="N46" s="5">
        <f t="shared" si="25"/>
        <v>3.6681057020582497E-2</v>
      </c>
      <c r="O46" s="5">
        <f t="shared" si="26"/>
        <v>5.4824561403508704E-7</v>
      </c>
      <c r="P46" s="5">
        <f t="shared" si="22"/>
        <v>2.5713017642104707E-3</v>
      </c>
      <c r="Q46" s="5">
        <f t="shared" ref="Q46:R46" si="37">AD13</f>
        <v>2.9058585378320899E-3</v>
      </c>
      <c r="R46" s="5">
        <f t="shared" si="37"/>
        <v>1.48638235411952E-3</v>
      </c>
      <c r="S46" s="5">
        <f t="shared" si="23"/>
        <v>4.8346530425994849E-2</v>
      </c>
      <c r="T46" s="5">
        <f t="shared" si="24"/>
        <v>0.99999999999999956</v>
      </c>
    </row>
    <row r="47" spans="1:35" x14ac:dyDescent="0.2">
      <c r="A47" t="s">
        <v>11</v>
      </c>
      <c r="B47">
        <v>8</v>
      </c>
      <c r="C47" s="5">
        <f t="shared" si="12"/>
        <v>0.58078500992513993</v>
      </c>
      <c r="D47" s="5">
        <f t="shared" si="13"/>
        <v>0.11102638211899701</v>
      </c>
      <c r="E47" s="5">
        <f t="shared" si="14"/>
        <v>0.16380409005682001</v>
      </c>
      <c r="F47" s="5">
        <f t="shared" si="15"/>
        <v>4.1666666666666598E-5</v>
      </c>
      <c r="G47" s="5">
        <f t="shared" si="16"/>
        <v>8.3361120373457408E-5</v>
      </c>
      <c r="J47" s="5">
        <f t="shared" si="17"/>
        <v>0.110062993778496</v>
      </c>
      <c r="K47" s="5">
        <f t="shared" si="18"/>
        <v>0</v>
      </c>
      <c r="L47" s="5">
        <f t="shared" si="19"/>
        <v>6.5546155669980039E-3</v>
      </c>
      <c r="M47" s="5">
        <f t="shared" si="20"/>
        <v>2.0121336648787999E-2</v>
      </c>
      <c r="N47" s="5">
        <f t="shared" si="25"/>
        <v>3.34226428351606E-4</v>
      </c>
      <c r="O47" s="5">
        <f t="shared" si="26"/>
        <v>0</v>
      </c>
      <c r="P47" s="5">
        <f t="shared" si="22"/>
        <v>0</v>
      </c>
      <c r="Q47" s="5">
        <f t="shared" ref="Q47:R47" si="38">AD14</f>
        <v>5.5585550431941797E-3</v>
      </c>
      <c r="R47" s="5">
        <f t="shared" si="38"/>
        <v>4.1876046901172497E-5</v>
      </c>
      <c r="S47" s="5">
        <f t="shared" si="23"/>
        <v>1.5858865992738891E-3</v>
      </c>
      <c r="T47" s="5">
        <f t="shared" si="24"/>
        <v>1</v>
      </c>
      <c r="AI47" t="s">
        <v>80</v>
      </c>
    </row>
    <row r="48" spans="1:35" x14ac:dyDescent="0.2">
      <c r="A48" t="s">
        <v>12</v>
      </c>
      <c r="B48">
        <v>39</v>
      </c>
      <c r="C48" s="5">
        <f t="shared" si="12"/>
        <v>0.6174601654045182</v>
      </c>
      <c r="D48" s="5">
        <f t="shared" si="13"/>
        <v>3.9205932077224004E-2</v>
      </c>
      <c r="E48" s="5">
        <f t="shared" si="14"/>
        <v>0.25955248440199441</v>
      </c>
      <c r="F48" s="5">
        <f t="shared" si="15"/>
        <v>0</v>
      </c>
      <c r="G48" s="5">
        <f t="shared" si="16"/>
        <v>5.9317607635821796E-3</v>
      </c>
      <c r="J48" s="5">
        <f t="shared" si="17"/>
        <v>7.0514958528803901E-3</v>
      </c>
      <c r="K48" s="5">
        <f t="shared" si="18"/>
        <v>4.8805870276189198E-3</v>
      </c>
      <c r="L48" s="5">
        <f t="shared" si="19"/>
        <v>2.7350712345709099E-4</v>
      </c>
      <c r="M48" s="5">
        <f t="shared" si="20"/>
        <v>2.9009573259641298E-2</v>
      </c>
      <c r="N48" s="5">
        <f t="shared" si="25"/>
        <v>1.19920630524706E-2</v>
      </c>
      <c r="O48" s="5">
        <f t="shared" si="26"/>
        <v>2.1112365470604901E-3</v>
      </c>
      <c r="P48" s="5">
        <f t="shared" si="22"/>
        <v>1.1111168110167075E-3</v>
      </c>
      <c r="Q48" s="5">
        <f t="shared" ref="Q48:R48" si="39">AD15</f>
        <v>1.8975214226381999E-3</v>
      </c>
      <c r="R48" s="5">
        <f t="shared" si="39"/>
        <v>3.1284844996322301E-3</v>
      </c>
      <c r="S48" s="5">
        <f t="shared" si="23"/>
        <v>1.6394071756264492E-2</v>
      </c>
      <c r="T48" s="5">
        <f t="shared" si="24"/>
        <v>0.99999999999999911</v>
      </c>
    </row>
    <row r="49" spans="1:35" x14ac:dyDescent="0.2">
      <c r="A49" t="s">
        <v>13</v>
      </c>
      <c r="B49">
        <v>47</v>
      </c>
      <c r="C49" s="5">
        <f t="shared" si="12"/>
        <v>0.5189858156028373</v>
      </c>
      <c r="D49" s="5">
        <f t="shared" si="13"/>
        <v>0.25190780141843999</v>
      </c>
      <c r="E49" s="5">
        <f t="shared" si="14"/>
        <v>0.15119858156028329</v>
      </c>
      <c r="F49" s="5">
        <f t="shared" si="15"/>
        <v>4.2907801418439698E-3</v>
      </c>
      <c r="G49" s="5">
        <f t="shared" si="16"/>
        <v>2.3439716312056727E-2</v>
      </c>
      <c r="J49" s="5">
        <f t="shared" si="17"/>
        <v>4.8510638297872303E-3</v>
      </c>
      <c r="K49" s="5">
        <f t="shared" si="18"/>
        <v>1.14184397163121E-3</v>
      </c>
      <c r="L49" s="5">
        <f t="shared" si="19"/>
        <v>6.3829787234038864E-5</v>
      </c>
      <c r="M49" s="5">
        <f t="shared" si="20"/>
        <v>1.6482269503546101E-2</v>
      </c>
      <c r="N49" s="5">
        <f t="shared" si="25"/>
        <v>2.8297872340425599E-3</v>
      </c>
      <c r="O49" s="5">
        <f t="shared" si="26"/>
        <v>7.2765957446808598E-3</v>
      </c>
      <c r="P49" s="5">
        <f t="shared" si="22"/>
        <v>1.4751773049644784E-3</v>
      </c>
      <c r="Q49" s="5">
        <f t="shared" ref="Q49:R49" si="40">AD16</f>
        <v>1.1560283687943301E-3</v>
      </c>
      <c r="R49" s="5">
        <f t="shared" si="40"/>
        <v>4.2695035460992899E-3</v>
      </c>
      <c r="S49" s="5">
        <f t="shared" si="23"/>
        <v>1.0631205673758914E-2</v>
      </c>
      <c r="T49" s="5">
        <f t="shared" si="24"/>
        <v>1.0000000000000004</v>
      </c>
    </row>
    <row r="50" spans="1:35" x14ac:dyDescent="0.2">
      <c r="A50" t="s">
        <v>14</v>
      </c>
      <c r="B50">
        <v>48</v>
      </c>
      <c r="C50" s="5">
        <f t="shared" si="12"/>
        <v>0.76845027661650334</v>
      </c>
      <c r="D50" s="5">
        <f t="shared" si="13"/>
        <v>8.3531381237849006E-2</v>
      </c>
      <c r="E50" s="5">
        <f t="shared" si="14"/>
        <v>0.12451139770120359</v>
      </c>
      <c r="F50" s="5">
        <f t="shared" si="15"/>
        <v>0</v>
      </c>
      <c r="G50" s="5">
        <f t="shared" si="16"/>
        <v>2.0763888888888902E-3</v>
      </c>
      <c r="J50" s="5">
        <f t="shared" si="17"/>
        <v>8.7500000000000002E-4</v>
      </c>
      <c r="K50" s="5">
        <f t="shared" si="18"/>
        <v>3.40277777777778E-4</v>
      </c>
      <c r="L50" s="5">
        <f t="shared" si="19"/>
        <v>4.8611111111111901E-5</v>
      </c>
      <c r="M50" s="5">
        <f t="shared" si="20"/>
        <v>2.5694444444444397E-4</v>
      </c>
      <c r="N50" s="5">
        <f t="shared" si="25"/>
        <v>3.1944444444444399E-3</v>
      </c>
      <c r="O50" s="5">
        <f t="shared" si="26"/>
        <v>4.58333333333333E-4</v>
      </c>
      <c r="P50" s="5">
        <f t="shared" si="22"/>
        <v>8.3333333333334304E-4</v>
      </c>
      <c r="Q50" s="5">
        <f t="shared" ref="Q50:R50" si="41">AD17</f>
        <v>1.5416666666666699E-3</v>
      </c>
      <c r="R50" s="5">
        <f t="shared" si="41"/>
        <v>3.9236111111111104E-3</v>
      </c>
      <c r="S50" s="5">
        <f t="shared" si="23"/>
        <v>9.9583333333332791E-3</v>
      </c>
      <c r="T50" s="5">
        <f t="shared" si="24"/>
        <v>1</v>
      </c>
    </row>
    <row r="51" spans="1:35" x14ac:dyDescent="0.2">
      <c r="A51" t="s">
        <v>15</v>
      </c>
      <c r="B51">
        <v>46</v>
      </c>
      <c r="C51" s="5">
        <f t="shared" si="12"/>
        <v>0.80082954654548422</v>
      </c>
      <c r="D51" s="5">
        <f t="shared" si="13"/>
        <v>4.6326570383265014E-2</v>
      </c>
      <c r="E51" s="5">
        <f t="shared" si="14"/>
        <v>0.11789017130618669</v>
      </c>
      <c r="F51" s="5">
        <f t="shared" si="15"/>
        <v>0</v>
      </c>
      <c r="G51" s="5">
        <f t="shared" si="16"/>
        <v>1.24859136936389E-3</v>
      </c>
      <c r="J51" s="5">
        <f t="shared" si="17"/>
        <v>1.44927536231884E-4</v>
      </c>
      <c r="K51" s="5">
        <f t="shared" si="18"/>
        <v>1.3434263173066701E-3</v>
      </c>
      <c r="L51" s="5">
        <f t="shared" si="19"/>
        <v>8.9935512018215992E-5</v>
      </c>
      <c r="M51" s="5">
        <f t="shared" si="20"/>
        <v>1.69595942341604E-3</v>
      </c>
      <c r="N51" s="5">
        <f t="shared" si="25"/>
        <v>1.7757082672851599E-3</v>
      </c>
      <c r="O51" s="5">
        <f t="shared" si="26"/>
        <v>3.9380207885303803E-3</v>
      </c>
      <c r="P51" s="5">
        <f t="shared" si="22"/>
        <v>6.2343760688772076E-4</v>
      </c>
      <c r="Q51" s="5">
        <f t="shared" ref="Q51:R51" si="42">AD18</f>
        <v>2.0880507946041101E-3</v>
      </c>
      <c r="R51" s="5">
        <f t="shared" si="42"/>
        <v>9.7614582813989794E-3</v>
      </c>
      <c r="S51" s="5">
        <f t="shared" si="23"/>
        <v>1.2244195868020252E-2</v>
      </c>
      <c r="T51" s="5">
        <f t="shared" si="24"/>
        <v>0.99999999999999911</v>
      </c>
    </row>
    <row r="52" spans="1:35" x14ac:dyDescent="0.2">
      <c r="A52" t="s">
        <v>16</v>
      </c>
      <c r="B52">
        <v>6</v>
      </c>
      <c r="C52" s="5">
        <f t="shared" si="12"/>
        <v>0.22438988213899005</v>
      </c>
      <c r="D52" s="5">
        <f t="shared" si="13"/>
        <v>2.3360608936089378E-3</v>
      </c>
      <c r="E52" s="5">
        <f t="shared" si="14"/>
        <v>0.46239975440606601</v>
      </c>
      <c r="F52" s="5">
        <f t="shared" si="15"/>
        <v>0</v>
      </c>
      <c r="G52" s="5">
        <f t="shared" si="16"/>
        <v>0</v>
      </c>
      <c r="J52" s="5">
        <f t="shared" si="17"/>
        <v>0.30058750565470599</v>
      </c>
      <c r="K52" s="5">
        <f t="shared" si="18"/>
        <v>9.4578079715257205E-4</v>
      </c>
      <c r="L52" s="5">
        <f t="shared" si="19"/>
        <v>1.1135240254844803E-4</v>
      </c>
      <c r="M52" s="5">
        <f t="shared" si="20"/>
        <v>8.8960521320807801E-3</v>
      </c>
      <c r="N52" s="5">
        <f t="shared" si="25"/>
        <v>1.6694490818030001E-4</v>
      </c>
      <c r="O52" s="5">
        <f t="shared" si="26"/>
        <v>0</v>
      </c>
      <c r="P52" s="5">
        <f t="shared" si="22"/>
        <v>0</v>
      </c>
      <c r="Q52" s="5">
        <f t="shared" ref="Q52:R52" si="43">AD19</f>
        <v>5.5555555555555497E-5</v>
      </c>
      <c r="R52" s="5">
        <f t="shared" si="43"/>
        <v>0</v>
      </c>
      <c r="S52" s="5">
        <f t="shared" si="23"/>
        <v>1.1111111111139493E-4</v>
      </c>
      <c r="T52" s="5">
        <f t="shared" si="24"/>
        <v>1</v>
      </c>
    </row>
    <row r="53" spans="1:35" x14ac:dyDescent="0.2">
      <c r="A53" t="s">
        <v>17</v>
      </c>
      <c r="B53">
        <v>13</v>
      </c>
      <c r="C53" s="5">
        <f t="shared" si="12"/>
        <v>0.47931175306484364</v>
      </c>
      <c r="D53" s="5">
        <f t="shared" si="13"/>
        <v>0.17603550164058002</v>
      </c>
      <c r="E53" s="5">
        <f t="shared" si="14"/>
        <v>0.20938242223307402</v>
      </c>
      <c r="F53" s="5">
        <f t="shared" si="15"/>
        <v>0</v>
      </c>
      <c r="G53" s="5">
        <f t="shared" si="16"/>
        <v>1.71830853187352E-3</v>
      </c>
      <c r="J53" s="5">
        <f t="shared" si="17"/>
        <v>1.5770789962904899E-2</v>
      </c>
      <c r="K53" s="5">
        <f t="shared" si="18"/>
        <v>4.8717948717948801E-4</v>
      </c>
      <c r="L53" s="5">
        <f t="shared" si="19"/>
        <v>2.0512820512821189E-4</v>
      </c>
      <c r="M53" s="5">
        <f t="shared" si="20"/>
        <v>8.0108021280423505E-2</v>
      </c>
      <c r="N53" s="5">
        <f t="shared" si="25"/>
        <v>4.6666666666666697E-3</v>
      </c>
      <c r="O53" s="5">
        <f t="shared" si="26"/>
        <v>2.5641025641025599E-5</v>
      </c>
      <c r="P53" s="5">
        <f t="shared" si="22"/>
        <v>2.1692727475219803E-2</v>
      </c>
      <c r="Q53" s="5">
        <f t="shared" ref="Q53:R53" si="44">AD20</f>
        <v>2.8217122002621503E-4</v>
      </c>
      <c r="R53" s="5">
        <f t="shared" si="44"/>
        <v>2.2332879282428299E-3</v>
      </c>
      <c r="S53" s="5">
        <f t="shared" si="23"/>
        <v>8.0804012781958423E-3</v>
      </c>
      <c r="T53" s="5">
        <f t="shared" si="24"/>
        <v>0.99999999999999967</v>
      </c>
    </row>
    <row r="55" spans="1:35" x14ac:dyDescent="0.2">
      <c r="A55" t="s">
        <v>81</v>
      </c>
      <c r="B55">
        <f t="shared" ref="B55" si="45">B35</f>
        <v>37</v>
      </c>
      <c r="C55" s="5">
        <v>0.01</v>
      </c>
      <c r="D55" s="5">
        <v>0.01</v>
      </c>
      <c r="E55" s="5">
        <v>0.01</v>
      </c>
      <c r="F55" s="5">
        <v>0.01</v>
      </c>
      <c r="G55" s="5">
        <v>0.01</v>
      </c>
      <c r="J55" s="5">
        <v>0.01</v>
      </c>
      <c r="K55" s="5">
        <v>0.01</v>
      </c>
      <c r="L55" s="5">
        <v>0.01</v>
      </c>
      <c r="M55" s="5">
        <v>0.01</v>
      </c>
      <c r="N55" s="5">
        <v>0.01</v>
      </c>
      <c r="O55" s="5">
        <v>0.01</v>
      </c>
      <c r="P55" s="5">
        <v>0.01</v>
      </c>
      <c r="Q55" s="5">
        <v>0.01</v>
      </c>
      <c r="R55" s="5">
        <v>0.01</v>
      </c>
      <c r="S55" s="5">
        <v>0.01</v>
      </c>
      <c r="T55" s="5">
        <f t="shared" ref="T55" si="46">T35</f>
        <v>1.0000000000000002</v>
      </c>
    </row>
    <row r="58" spans="1:35" x14ac:dyDescent="0.2">
      <c r="C58" s="5">
        <f>AVERAGE(C35:C53)</f>
        <v>0.47138913430821733</v>
      </c>
      <c r="D58" s="5">
        <f t="shared" ref="D58:G58" si="47">AVERAGE(D35:D53)</f>
        <v>0.12282408104738024</v>
      </c>
      <c r="E58" s="5">
        <f t="shared" si="47"/>
        <v>0.24454411656211042</v>
      </c>
      <c r="F58" s="5">
        <f t="shared" si="47"/>
        <v>2.9743509668201705E-3</v>
      </c>
      <c r="G58" s="5">
        <f t="shared" si="47"/>
        <v>8.1877360924861847E-3</v>
      </c>
      <c r="J58" s="5">
        <f t="shared" ref="J58:S58" si="48">AVERAGE(J35:J53)</f>
        <v>5.0176642950428521E-2</v>
      </c>
      <c r="K58" s="5">
        <f t="shared" si="48"/>
        <v>2.3601848813643747E-3</v>
      </c>
      <c r="L58" s="5">
        <f t="shared" si="48"/>
        <v>3.806946692112196E-3</v>
      </c>
      <c r="M58" s="5">
        <f t="shared" si="48"/>
        <v>4.752864199587635E-2</v>
      </c>
      <c r="N58" s="5">
        <f t="shared" si="48"/>
        <v>7.02343609586895E-3</v>
      </c>
      <c r="O58" s="5">
        <f t="shared" si="48"/>
        <v>1.6350116224450552E-3</v>
      </c>
      <c r="P58" s="5">
        <f t="shared" si="48"/>
        <v>1.7475166305954718E-3</v>
      </c>
      <c r="Q58" s="5">
        <f t="shared" si="48"/>
        <v>1.420942581130101E-2</v>
      </c>
      <c r="R58" s="5">
        <f t="shared" si="48"/>
        <v>7.3781328247518709E-3</v>
      </c>
      <c r="S58" s="5">
        <f t="shared" si="48"/>
        <v>1.4214641518241875E-2</v>
      </c>
    </row>
    <row r="61" spans="1:35" x14ac:dyDescent="0.2">
      <c r="A61" s="44" t="s">
        <v>91</v>
      </c>
    </row>
    <row r="64" spans="1:35" x14ac:dyDescent="0.2">
      <c r="AI64" t="s">
        <v>80</v>
      </c>
    </row>
    <row r="81" spans="35:35" x14ac:dyDescent="0.2">
      <c r="AI81" t="s">
        <v>80</v>
      </c>
    </row>
    <row r="98" spans="35:35" x14ac:dyDescent="0.2">
      <c r="AI98" t="s">
        <v>80</v>
      </c>
    </row>
    <row r="115" spans="35:35" x14ac:dyDescent="0.2">
      <c r="AI115" t="s">
        <v>80</v>
      </c>
    </row>
    <row r="132" spans="35:35" x14ac:dyDescent="0.2">
      <c r="AI132" t="s">
        <v>80</v>
      </c>
    </row>
    <row r="149" spans="35:35" x14ac:dyDescent="0.2">
      <c r="AI149" t="s">
        <v>80</v>
      </c>
    </row>
    <row r="166" spans="35:35" x14ac:dyDescent="0.2">
      <c r="AI166" t="s">
        <v>80</v>
      </c>
    </row>
    <row r="183" spans="35:35" x14ac:dyDescent="0.2">
      <c r="AI183" t="s">
        <v>80</v>
      </c>
    </row>
  </sheetData>
  <phoneticPr fontId="5" type="noConversion"/>
  <pageMargins left="0.7" right="0.7" top="0.75" bottom="0.75" header="0.3" footer="0.3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Jean-Baptiste Leducq</dc:creator>
  <cp:lastModifiedBy>Jean-Baptiste Leducq</cp:lastModifiedBy>
  <cp:lastPrinted>2025-07-02T19:58:18Z</cp:lastPrinted>
  <dcterms:created xsi:type="dcterms:W3CDTF">2025-06-27T16:14:46Z</dcterms:created>
  <dcterms:modified xsi:type="dcterms:W3CDTF">2025-08-06T14:53:12Z</dcterms:modified>
</cp:coreProperties>
</file>