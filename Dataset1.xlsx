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7127"/>
  <workbookPr showInkAnnotation="0" autoCompressPictures="0"/>
  <bookViews>
    <workbookView xWindow="680" yWindow="0" windowWidth="28800" windowHeight="15880" tabRatio="500"/>
  </bookViews>
  <sheets>
    <sheet name="Dataset1" sheetId="1" r:id="rId1"/>
    <sheet name="Feuil1" sheetId="2" r:id="rId2"/>
    <sheet name="Feuil2" sheetId="3" r:id="rId3"/>
    <sheet name="Feuil3" sheetId="4" r:id="rId4"/>
  </sheets>
  <calcPr calcId="140001" concurrentCalc="0"/>
  <extLst>
    <ext xmlns:mx="http://schemas.microsoft.com/office/mac/excel/2008/main" uri="{7523E5D3-25F3-A5E0-1632-64F254C22452}">
      <mx:ArchID Flags="2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" i="4" l="1"/>
  <c r="M4" i="4"/>
  <c r="N4" i="4"/>
  <c r="L5" i="4"/>
  <c r="M5" i="4"/>
  <c r="N5" i="4"/>
  <c r="L6" i="4"/>
  <c r="M6" i="4"/>
  <c r="N6" i="4"/>
  <c r="L7" i="4"/>
  <c r="M7" i="4"/>
  <c r="N7" i="4"/>
  <c r="L8" i="4"/>
  <c r="M8" i="4"/>
  <c r="N8" i="4"/>
  <c r="L9" i="4"/>
  <c r="M9" i="4"/>
  <c r="N9" i="4"/>
  <c r="L10" i="4"/>
  <c r="M10" i="4"/>
  <c r="N10" i="4"/>
  <c r="L11" i="4"/>
  <c r="M11" i="4"/>
  <c r="N11" i="4"/>
  <c r="L12" i="4"/>
  <c r="M12" i="4"/>
  <c r="N12" i="4"/>
  <c r="L13" i="4"/>
  <c r="M13" i="4"/>
  <c r="N13" i="4"/>
  <c r="L14" i="4"/>
  <c r="M14" i="4"/>
  <c r="N14" i="4"/>
  <c r="L15" i="4"/>
  <c r="M15" i="4"/>
  <c r="N15" i="4"/>
  <c r="L16" i="4"/>
  <c r="M16" i="4"/>
  <c r="N16" i="4"/>
  <c r="L17" i="4"/>
  <c r="M17" i="4"/>
  <c r="N17" i="4"/>
  <c r="L18" i="4"/>
  <c r="M18" i="4"/>
  <c r="N18" i="4"/>
  <c r="L19" i="4"/>
  <c r="M19" i="4"/>
  <c r="N19" i="4"/>
  <c r="L20" i="4"/>
  <c r="M20" i="4"/>
  <c r="N20" i="4"/>
  <c r="L21" i="4"/>
  <c r="M21" i="4"/>
  <c r="N21" i="4"/>
  <c r="L22" i="4"/>
  <c r="M22" i="4"/>
  <c r="N22" i="4"/>
  <c r="L23" i="4"/>
  <c r="M23" i="4"/>
  <c r="N23" i="4"/>
  <c r="L24" i="4"/>
  <c r="M24" i="4"/>
  <c r="N24" i="4"/>
  <c r="L25" i="4"/>
  <c r="M25" i="4"/>
  <c r="N25" i="4"/>
  <c r="L26" i="4"/>
  <c r="M26" i="4"/>
  <c r="N26" i="4"/>
  <c r="L27" i="4"/>
  <c r="M27" i="4"/>
  <c r="N27" i="4"/>
  <c r="M3" i="4"/>
  <c r="N3" i="4"/>
  <c r="L3" i="4"/>
  <c r="P3" i="4"/>
  <c r="P18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9" i="4"/>
  <c r="P20" i="4"/>
  <c r="P21" i="4"/>
  <c r="P22" i="4"/>
  <c r="P23" i="4"/>
  <c r="P24" i="4"/>
  <c r="P25" i="4"/>
  <c r="P26" i="4"/>
  <c r="P27" i="4"/>
  <c r="Q18" i="4"/>
  <c r="Q11" i="4"/>
  <c r="Q25" i="4"/>
  <c r="Q26" i="4"/>
  <c r="Q24" i="4"/>
  <c r="Q23" i="4"/>
  <c r="Q22" i="4"/>
  <c r="Q21" i="4"/>
  <c r="Q20" i="4"/>
  <c r="Q19" i="4"/>
  <c r="Q17" i="4"/>
  <c r="Q15" i="4"/>
  <c r="Q14" i="4"/>
  <c r="Q13" i="4"/>
  <c r="Q12" i="4"/>
  <c r="Q10" i="4"/>
  <c r="Q9" i="4"/>
  <c r="Q8" i="4"/>
  <c r="Q7" i="4"/>
  <c r="Q6" i="4"/>
  <c r="Q4" i="4"/>
  <c r="Q3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4" i="4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06" i="3"/>
  <c r="F95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7" i="3"/>
  <c r="F76" i="3"/>
  <c r="F75" i="3"/>
  <c r="F74" i="3"/>
  <c r="F73" i="3"/>
  <c r="F72" i="3"/>
  <c r="F71" i="3"/>
  <c r="F70" i="3"/>
  <c r="F6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F47" i="3"/>
  <c r="F58" i="3"/>
  <c r="C14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0" i="2"/>
  <c r="C89" i="2"/>
  <c r="C83" i="2"/>
  <c r="C92" i="2"/>
  <c r="C91" i="2"/>
  <c r="C88" i="2"/>
  <c r="C87" i="2"/>
  <c r="C86" i="2"/>
  <c r="C85" i="2"/>
  <c r="C84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43" i="2"/>
  <c r="C3" i="2"/>
  <c r="C4" i="2"/>
  <c r="C5" i="2"/>
  <c r="C6" i="2"/>
  <c r="C7" i="2"/>
  <c r="C8" i="2"/>
  <c r="C9" i="2"/>
  <c r="C10" i="2"/>
  <c r="C11" i="2"/>
  <c r="C12" i="2"/>
  <c r="C13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2" i="2"/>
  <c r="X25" i="1"/>
</calcChain>
</file>

<file path=xl/sharedStrings.xml><?xml version="1.0" encoding="utf-8"?>
<sst xmlns="http://schemas.openxmlformats.org/spreadsheetml/2006/main" count="5269" uniqueCount="2001">
  <si>
    <t>Short</t>
  </si>
  <si>
    <t>Species</t>
  </si>
  <si>
    <t>Isolate</t>
  </si>
  <si>
    <t>Genome_File</t>
  </si>
  <si>
    <t>RAST_file</t>
  </si>
  <si>
    <t>Type</t>
  </si>
  <si>
    <t>Source</t>
  </si>
  <si>
    <t>seq96</t>
  </si>
  <si>
    <t>Alsobacteraceae</t>
  </si>
  <si>
    <t>Alsobacter_metallidurans</t>
  </si>
  <si>
    <t>NA</t>
  </si>
  <si>
    <t>GCA_014636935.1_ASM1463693v1_genomic.fna</t>
  </si>
  <si>
    <t>Genomics</t>
  </si>
  <si>
    <t>seq103</t>
  </si>
  <si>
    <t>Alsobacter_ponti</t>
  </si>
  <si>
    <t>GCA_024294805.1_ASM2429480v1_genomic.fna</t>
  </si>
  <si>
    <t>seq87</t>
  </si>
  <si>
    <t>Alsobacter_soli</t>
  </si>
  <si>
    <t>GCA_003004785.1_ASM300478v1_genomic.fna</t>
  </si>
  <si>
    <t>seq124</t>
  </si>
  <si>
    <t>Beijerinckiaceae</t>
  </si>
  <si>
    <t>Beijerinckia_indica</t>
  </si>
  <si>
    <t>GCF_000019845.1_ASM1984v1_genomic.fna</t>
  </si>
  <si>
    <t>seq127</t>
  </si>
  <si>
    <t>Beijerinckia_mobilis</t>
  </si>
  <si>
    <t>GCF_000745425.1_ASM74542v1_genomic.fna</t>
  </si>
  <si>
    <t>seq126</t>
  </si>
  <si>
    <t>Methylocapsa_acidiphila</t>
  </si>
  <si>
    <t>GCF_000427445.1_ASM42744v1_genomic.fna</t>
  </si>
  <si>
    <t>seq128</t>
  </si>
  <si>
    <t>Methylocapsa_aurea</t>
  </si>
  <si>
    <t>GCF_000746085.1_ASM74608v1_genomic.fna</t>
  </si>
  <si>
    <t>seq160</t>
  </si>
  <si>
    <t>Methylocapsa_palsarum</t>
  </si>
  <si>
    <t>GCF_900114285.1_IMG-taxon_2675903028_annotated_assembly_genomic.fna</t>
  </si>
  <si>
    <t>seq131</t>
  </si>
  <si>
    <t>Methylocapsa_polymorpha</t>
  </si>
  <si>
    <t>GCF_045689225.1_ASM4568922v1_genomic.fna</t>
  </si>
  <si>
    <t>seq161</t>
  </si>
  <si>
    <t>Methylocella_silvestris</t>
  </si>
  <si>
    <t>GCF_000021745.1_ASM2174v1_genomic.fna</t>
  </si>
  <si>
    <t>seq130</t>
  </si>
  <si>
    <t>Methylocella_tundrae</t>
  </si>
  <si>
    <t>GCF_038024855.1_MTun_genomic.fna</t>
  </si>
  <si>
    <t>seq125</t>
  </si>
  <si>
    <t>Methyloferula_stellata</t>
  </si>
  <si>
    <t>GCF_000385335.1_ASM38533v1_genomic.fna</t>
  </si>
  <si>
    <t>seq129</t>
  </si>
  <si>
    <t>Methylovirgula_ligni</t>
  </si>
  <si>
    <t>GCF_004135935.1_ASM413593v1_genomic.fna</t>
  </si>
  <si>
    <t>seq111</t>
  </si>
  <si>
    <t>Boseaceae</t>
  </si>
  <si>
    <t>Bosea_beijingensis</t>
  </si>
  <si>
    <t>GCA_030758975.1_ASM3075897v1_genomic.fna</t>
  </si>
  <si>
    <t>seq89</t>
  </si>
  <si>
    <t>Bosea_caraganae</t>
  </si>
  <si>
    <t>GCA_003351345.1_ASM335134v1_genomic.fna</t>
  </si>
  <si>
    <t>seq118</t>
  </si>
  <si>
    <t>Bosea_eneae</t>
  </si>
  <si>
    <t>GCA_042657265.1_ASM4265726v1_genomic.fna</t>
  </si>
  <si>
    <t>seq121</t>
  </si>
  <si>
    <t>Bosea_lathyri</t>
  </si>
  <si>
    <t>GCA_900108245.1_IMG-taxon_2622736433_annotated_assembly_genomic.fna</t>
  </si>
  <si>
    <t>seq122</t>
  </si>
  <si>
    <t>Bosea_lupini</t>
  </si>
  <si>
    <t>GCA_900109525.1_IMG-taxon_2634166302_annotated_assembly_genomic.fna</t>
  </si>
  <si>
    <t>seq117</t>
  </si>
  <si>
    <t>Bosea_massiliensis</t>
  </si>
  <si>
    <t>GCA_042655245.1_ASM4265524v1_genomic.fna</t>
  </si>
  <si>
    <t>seq105</t>
  </si>
  <si>
    <t>Bosea_minatitlanensis</t>
  </si>
  <si>
    <t>GCA_025209975.1_ASM2520997v1_genomic.fna</t>
  </si>
  <si>
    <t>seq86</t>
  </si>
  <si>
    <t>Bosea_psychrotolerans</t>
  </si>
  <si>
    <t>GCA_002917105.1_ASM291710v1_genomic.fna</t>
  </si>
  <si>
    <t>seq120</t>
  </si>
  <si>
    <t>Bosea_robiniae</t>
  </si>
  <si>
    <t>GCA_900102525.1_IMG-taxon_2675903146_annotated_assembly_genomic.fna</t>
  </si>
  <si>
    <t>seq112</t>
  </si>
  <si>
    <t>Bosea_rubneri</t>
  </si>
  <si>
    <t>GCA_032464875.1_ASM3246487v1_genomic.fna</t>
  </si>
  <si>
    <t>seq99</t>
  </si>
  <si>
    <t>Bosea_spartocytisi</t>
  </si>
  <si>
    <t>GCA_014764685.1_ASM1476468v1_genomic.fna</t>
  </si>
  <si>
    <t>seq123</t>
  </si>
  <si>
    <t>Bosea_thiooxidans</t>
  </si>
  <si>
    <t>GCA_900168195.1_IMG-taxon_2595698224_annotated_assembly_genomic.fna</t>
  </si>
  <si>
    <t>seq85</t>
  </si>
  <si>
    <t>Bosea_vaviloviae</t>
  </si>
  <si>
    <t>GCA_001741865.1_ASM174186v1_genomic.fna</t>
  </si>
  <si>
    <t>seq110</t>
  </si>
  <si>
    <t>Bosea_vestrisii</t>
  </si>
  <si>
    <t>GCA_030144325.1_ASM3014432v1_genomic.fna</t>
  </si>
  <si>
    <t>seq116</t>
  </si>
  <si>
    <t>Chelatococcaceae</t>
  </si>
  <si>
    <t>Camelimonas_abortus</t>
  </si>
  <si>
    <t>GCA_042432745.1_ASM4243274v1_genomic.fna</t>
  </si>
  <si>
    <t>seq98</t>
  </si>
  <si>
    <t>Camelimonas_fluminis</t>
  </si>
  <si>
    <t>GCA_014656355.1_ASM1465635v1_genomic.fna</t>
  </si>
  <si>
    <t>seq119</t>
  </si>
  <si>
    <t>Camelimonas_lactis</t>
  </si>
  <si>
    <t>GCA_042685445.1_ASM4268544v1_genomic.fna</t>
  </si>
  <si>
    <t>seq109</t>
  </si>
  <si>
    <t>Chelatococcus_albus</t>
  </si>
  <si>
    <t>GCA_030067675.1_ASM3006767v1_genomic.fna</t>
  </si>
  <si>
    <t>seq100</t>
  </si>
  <si>
    <t>Chelatococcus_asaccharovorans</t>
  </si>
  <si>
    <t>GCA_018398275.1_ASM1839827v1_genomic.fna</t>
  </si>
  <si>
    <t>seq95</t>
  </si>
  <si>
    <t>Chelatococcus_caeni</t>
  </si>
  <si>
    <t>GCA_014196925.1_ASM1419692v1_genomic.fna</t>
  </si>
  <si>
    <t>seq101</t>
  </si>
  <si>
    <t>Chelatococcus_composti</t>
  </si>
  <si>
    <t>GCA_018398355.1_ASM1839835v1_genomic.fna</t>
  </si>
  <si>
    <t>seq97</t>
  </si>
  <si>
    <t>Chelatococcus_reniformis</t>
  </si>
  <si>
    <t>GCA_014640075.1_ASM1464007v1_genomic.fna</t>
  </si>
  <si>
    <t>seq84</t>
  </si>
  <si>
    <t>Chelatococcus_sambhunathii</t>
  </si>
  <si>
    <t>GCA_001418005.1_ASM141800v1_genomic.fna</t>
  </si>
  <si>
    <t>seq94</t>
  </si>
  <si>
    <t>Pseudochelatococcus_contaminans</t>
  </si>
  <si>
    <t>GCA_014195635.1_ASM1419563v1_genomic.fna</t>
  </si>
  <si>
    <t>seq115</t>
  </si>
  <si>
    <t>Pseudochelatococcus_lubricantis</t>
  </si>
  <si>
    <t>GCA_042432495.1_ASM4243249v1_genomic.fna</t>
  </si>
  <si>
    <t>seq132</t>
  </si>
  <si>
    <t>JAJXWB01</t>
  </si>
  <si>
    <t>BP5-bin57.fna</t>
  </si>
  <si>
    <t>seq6</t>
  </si>
  <si>
    <t>Lichenihabitantaceae</t>
  </si>
  <si>
    <t>Lichenibacterium_dinghuense</t>
  </si>
  <si>
    <t>6Y81</t>
  </si>
  <si>
    <t>GCA_021730615.1_ASM2173061v1_genomic.fna</t>
  </si>
  <si>
    <t>Soil</t>
  </si>
  <si>
    <t>seq3</t>
  </si>
  <si>
    <t>Lichenibacterium_minor</t>
  </si>
  <si>
    <t>RmlP026</t>
  </si>
  <si>
    <t>GCA_004137685.1_ASM413768v1_genomic.fna</t>
  </si>
  <si>
    <t>Lichen</t>
  </si>
  <si>
    <t>seq2</t>
  </si>
  <si>
    <t>Lichenibacterium_ramalinae</t>
  </si>
  <si>
    <t>RmlP001</t>
  </si>
  <si>
    <t>GCA_004137085.1_ASM413708v1_genomic.fna</t>
  </si>
  <si>
    <t>seq8</t>
  </si>
  <si>
    <t>Lichenifustis_flavocetrariae</t>
  </si>
  <si>
    <t>BP6-180914</t>
  </si>
  <si>
    <t>GCA_026130545.1_ASM2613054v1_genomic.fna</t>
  </si>
  <si>
    <t>seq9</t>
  </si>
  <si>
    <t>Lichenifustis_sp</t>
  </si>
  <si>
    <t>Uapishka_5</t>
  </si>
  <si>
    <t>GCA_033947565.1_ASM3394756v1_genomic.fna</t>
  </si>
  <si>
    <t>Snow</t>
  </si>
  <si>
    <t>seq4</t>
  </si>
  <si>
    <t>Lichenihabitans_psoromatis</t>
  </si>
  <si>
    <t>GCA_004323635.1_ASM432363v1_genomic.fna</t>
  </si>
  <si>
    <t>seq5</t>
  </si>
  <si>
    <t>GCA_004327155.1_ASM432715v1_genomic.fna</t>
  </si>
  <si>
    <t>seq7</t>
  </si>
  <si>
    <t>Lichenihabitans_sp</t>
  </si>
  <si>
    <t>PAMC28606</t>
  </si>
  <si>
    <t>GCA_020616535.1_ASM2061653v1_genomic.fna</t>
  </si>
  <si>
    <t>seq92</t>
  </si>
  <si>
    <t>Methylobacteriaceae</t>
  </si>
  <si>
    <t>Enterovirga_aerilata</t>
  </si>
  <si>
    <t>GCA_013044135.1_ASM1304413v1_genomic.fna</t>
  </si>
  <si>
    <t>seq147</t>
  </si>
  <si>
    <t>Enterovirga_rhinocerotis</t>
  </si>
  <si>
    <t>E_Ente_rhinocerotis_st56.fas</t>
  </si>
  <si>
    <t>seq151</t>
  </si>
  <si>
    <t>Enterovirga_sp_001</t>
  </si>
  <si>
    <t>E_Ente_sp_001_st47.fas</t>
  </si>
  <si>
    <t>seq114</t>
  </si>
  <si>
    <t>Hohaiivirga_grylli</t>
  </si>
  <si>
    <t>GCA_039655745.1_ASM3965574v1_genomic.fna</t>
  </si>
  <si>
    <t>seq150</t>
  </si>
  <si>
    <t>Methylobacterium_brachythecii</t>
  </si>
  <si>
    <t>B3_Meth_brachythecii_st55.fas</t>
  </si>
  <si>
    <t>seq152</t>
  </si>
  <si>
    <t>Methylobacterium_cerastii</t>
  </si>
  <si>
    <t>A5_Meth_cerastii_st130.fas</t>
  </si>
  <si>
    <t>seq145</t>
  </si>
  <si>
    <t>Methylobacterium_crusticola</t>
  </si>
  <si>
    <t>C2_Meth_crusticola_st151.fas</t>
  </si>
  <si>
    <t>seq139</t>
  </si>
  <si>
    <t>Methylobacterium_durans</t>
  </si>
  <si>
    <t>A3_Meth_durans_st7.fas</t>
  </si>
  <si>
    <t>seq135</t>
  </si>
  <si>
    <t>Methylobacterium_fujisawaense</t>
  </si>
  <si>
    <t>A1_Meth_fujisawaense_st36.fas</t>
  </si>
  <si>
    <t>seq153</t>
  </si>
  <si>
    <t>Methylobacterium_iners</t>
  </si>
  <si>
    <t>D6_Meth_iners_st135.fas</t>
  </si>
  <si>
    <t>seq154</t>
  </si>
  <si>
    <t>Methylobacterium_isbiliense</t>
  </si>
  <si>
    <t>C5_Meth_isbiliense_st136.fas</t>
  </si>
  <si>
    <t>seq155</t>
  </si>
  <si>
    <t>Methylobacterium_jeotgali</t>
  </si>
  <si>
    <t>A7_Meth_jeotgali_st137.fas</t>
  </si>
  <si>
    <t>seq156</t>
  </si>
  <si>
    <t>Methylobacterium_komagatae</t>
  </si>
  <si>
    <t>A2_Meth_komagatae_st138.fas</t>
  </si>
  <si>
    <t>seq134</t>
  </si>
  <si>
    <t>Methylobacterium_nodulans</t>
  </si>
  <si>
    <t>C3_Meth_nodulans_st167.fas</t>
  </si>
  <si>
    <t>seq157</t>
  </si>
  <si>
    <t>Methylobacterium_organophilum</t>
  </si>
  <si>
    <t>B4_Meth_organophilum_st142.fas</t>
  </si>
  <si>
    <t>seq142</t>
  </si>
  <si>
    <t>Methylobacterium_oryzihabitans</t>
  </si>
  <si>
    <t>C6_Meth_oryzihabitans_st185.fas</t>
  </si>
  <si>
    <t>seq140</t>
  </si>
  <si>
    <t>Methylobacterium_radiodurans</t>
  </si>
  <si>
    <t>A4_Meth_radiodurans_st11.fas</t>
  </si>
  <si>
    <t>seq143</t>
  </si>
  <si>
    <t>Methylobacterium_sp_001</t>
  </si>
  <si>
    <t>D4_Meth_sp_001_st33.fas</t>
  </si>
  <si>
    <t>seq137</t>
  </si>
  <si>
    <t>Methylobacterium_sp_009</t>
  </si>
  <si>
    <t>D2_Meth_sp_009_st103.fas</t>
  </si>
  <si>
    <t>seq136</t>
  </si>
  <si>
    <t>Methylobacterium_sp_011</t>
  </si>
  <si>
    <t>D3_Meth_sp_011_st120.fas</t>
  </si>
  <si>
    <t>seq148</t>
  </si>
  <si>
    <t>Methylobacterium_sp_013</t>
  </si>
  <si>
    <t>D1_Meth_sp_013_st18.fas</t>
  </si>
  <si>
    <t>seq138</t>
  </si>
  <si>
    <t>Methylobacterium_sp_017</t>
  </si>
  <si>
    <t>D5_Meth_sp_017_st107.fas</t>
  </si>
  <si>
    <t>seq141</t>
  </si>
  <si>
    <t>Methylobacterium_sp_043</t>
  </si>
  <si>
    <t>C1_Meth_sp_043_st8.fas</t>
  </si>
  <si>
    <t>seq133</t>
  </si>
  <si>
    <t>Methylobacterium_sp_044</t>
  </si>
  <si>
    <t>C4_Meth_sp_044_st16.fas</t>
  </si>
  <si>
    <t>seq159</t>
  </si>
  <si>
    <t>Methylobacterium_suomiense</t>
  </si>
  <si>
    <t>B2_Meth_suomiense_st155.fas</t>
  </si>
  <si>
    <t>seq146</t>
  </si>
  <si>
    <t>Methylobacterium_thiocyanatum</t>
  </si>
  <si>
    <t>B1_Meth_thiocyanatum_st207.fas</t>
  </si>
  <si>
    <t>seq158</t>
  </si>
  <si>
    <t>Methylobacterium_trifolii</t>
  </si>
  <si>
    <t>A6_Meth_trifolii_st147.fas</t>
  </si>
  <si>
    <t>seq144</t>
  </si>
  <si>
    <t>Microvirga_ossetica</t>
  </si>
  <si>
    <t>M_Micr_ossetica_st192.fas</t>
  </si>
  <si>
    <t>seq149</t>
  </si>
  <si>
    <t>Microvirga_sp_001</t>
  </si>
  <si>
    <t>M_Micr_sp_001_st6.fas</t>
  </si>
  <si>
    <t>seq113</t>
  </si>
  <si>
    <t>Methylocystaceae</t>
  </si>
  <si>
    <t>Methylocystis_borbori</t>
  </si>
  <si>
    <t>GCA_036576025.1_ASM3657602v1_genomic.fna</t>
  </si>
  <si>
    <t>seq108</t>
  </si>
  <si>
    <t>Methylocystis_bryophila</t>
  </si>
  <si>
    <t>GCA_027925445.1_ASM2792544v1_genomic.fna</t>
  </si>
  <si>
    <t>seq167</t>
  </si>
  <si>
    <t>Methylocystis_echinoides</t>
  </si>
  <si>
    <t>GCA_027923385.1_ASM2792338v1_genomic.fna</t>
  </si>
  <si>
    <t>seq91</t>
  </si>
  <si>
    <t>Methylocystis_heyeri</t>
  </si>
  <si>
    <t>GCA_004802635.2_ASM480263v2_genomic.fna</t>
  </si>
  <si>
    <t>seq90</t>
  </si>
  <si>
    <t>Methylocystis_hirsuta</t>
  </si>
  <si>
    <t>GCA_003722355.1_ASM372235v1_genomic.fna</t>
  </si>
  <si>
    <t>seq107</t>
  </si>
  <si>
    <t>Methylocystis_iwaonis</t>
  </si>
  <si>
    <t>GCA_027925385.1_ASM2792538v1_genomic.fna</t>
  </si>
  <si>
    <t>seq106</t>
  </si>
  <si>
    <t>Methylocystis_parvus</t>
  </si>
  <si>
    <t>GCA_027571405.1_ASM2757140v1_genomic.fna</t>
  </si>
  <si>
    <t>seq83</t>
  </si>
  <si>
    <t>Methylocystis_rosea</t>
  </si>
  <si>
    <t>GCA_000372845.1_ASM37284v1_genomic.fna</t>
  </si>
  <si>
    <t>seq93</t>
  </si>
  <si>
    <t>Methylocystis_silviterrae</t>
  </si>
  <si>
    <t>GCA_013350005.1_ASM1335000v1_genomic.fna</t>
  </si>
  <si>
    <t>seq104</t>
  </si>
  <si>
    <t>Methylocystis_suflitae</t>
  </si>
  <si>
    <t>GCA_024448135.1_ASM2444813v1_genomic.fna</t>
  </si>
  <si>
    <t>seq88</t>
  </si>
  <si>
    <t>Methylosinus_sporium</t>
  </si>
  <si>
    <t>GCA_003113265.1_ASM311326v1_genomic.fna</t>
  </si>
  <si>
    <t>seq82</t>
  </si>
  <si>
    <t>Methylosinus_trichosporium</t>
  </si>
  <si>
    <t>GCA_000178815.2_ASM17881v2_genomic.fna</t>
  </si>
  <si>
    <t>seq168</t>
  </si>
  <si>
    <t>RH_AL1</t>
  </si>
  <si>
    <t>Beijerinckiaceae_bacterium_RH_AL1_isolate_RH_AL1_genome_assembly.fasta</t>
  </si>
  <si>
    <t>seq169</t>
  </si>
  <si>
    <t>Beijerinckiaceae_bacterium_RH_AL8_isolate_RH_AL8_genome_assembly.fasta</t>
  </si>
  <si>
    <t>seq170</t>
  </si>
  <si>
    <t>Rhabdaerophilaceae</t>
  </si>
  <si>
    <t>Rhabdaerophilum_calidifontis</t>
  </si>
  <si>
    <t>GCA_008641065.1_ASM864106v1_genomic.fna</t>
  </si>
  <si>
    <t>seq162</t>
  </si>
  <si>
    <t>Rhodoblastaceae</t>
  </si>
  <si>
    <t>Rhodoblastus_acidophilus</t>
  </si>
  <si>
    <t>GCF_900187365.1_IMG-taxon_2724679731_annotated_assembly_genomic.fna</t>
  </si>
  <si>
    <t>seq102</t>
  </si>
  <si>
    <t>Rhodoblastus_alkanivorans</t>
  </si>
  <si>
    <t>GCA_022760755.1_ASM2276075v1_genomic.fna</t>
  </si>
  <si>
    <t>seq163</t>
  </si>
  <si>
    <t>Rhodoblastus_sphagnicola</t>
  </si>
  <si>
    <t>GCF_014197735.1_ASM1419773v1_genomic.fna</t>
  </si>
  <si>
    <t>seq1</t>
  </si>
  <si>
    <t>Roseiarcaceae</t>
  </si>
  <si>
    <t>Roseiarcus_fermantans</t>
  </si>
  <si>
    <t>GCA_003315135.1_ASM331513v1_genomic.fna</t>
  </si>
  <si>
    <t>Peat</t>
  </si>
  <si>
    <t>seq164</t>
  </si>
  <si>
    <t>Salinarimonas_ramus</t>
  </si>
  <si>
    <t>GCF_014645695.1_ASM1464569v1_genomic.fna</t>
  </si>
  <si>
    <t>seq165</t>
  </si>
  <si>
    <t>Salinarimonas_rosea</t>
  </si>
  <si>
    <t>GCF_000429045.1_ASM42904v1_genomic.fna</t>
  </si>
  <si>
    <t>seq166</t>
  </si>
  <si>
    <t>Salinarimonas_soli</t>
  </si>
  <si>
    <t>GCF_008386575.1_ASM838657v1_genomic.fna</t>
  </si>
  <si>
    <t>seq30</t>
  </si>
  <si>
    <t>abba_bin.24.orig</t>
  </si>
  <si>
    <t>abba_bin.24.orig.fa</t>
  </si>
  <si>
    <t>Metagenomics</t>
  </si>
  <si>
    <t>Phyllosphere</t>
  </si>
  <si>
    <t>seq48</t>
  </si>
  <si>
    <t>thoc_bin.53.orig</t>
  </si>
  <si>
    <t>thoc_bin.53.orig.fa</t>
  </si>
  <si>
    <t>seq71</t>
  </si>
  <si>
    <t>GCA_964244905.1_public_SRR12240177_metawrap_bin.1_genomic.fna</t>
  </si>
  <si>
    <t>seq10</t>
  </si>
  <si>
    <t>Lichenibacterium_sp</t>
  </si>
  <si>
    <t>SMAG_U5832</t>
  </si>
  <si>
    <t>GCA_036276175.1_ASM3627617v1_genomic.fna</t>
  </si>
  <si>
    <t>seq11</t>
  </si>
  <si>
    <t>GL61_DN_concoct_141_sub</t>
  </si>
  <si>
    <t>GCA_043758995.1_ASM4375899v1_genomic.fna</t>
  </si>
  <si>
    <t>Sediment</t>
  </si>
  <si>
    <t>seq12</t>
  </si>
  <si>
    <t>private_X16_metawrap_bin.2</t>
  </si>
  <si>
    <t>GCA_964236485.1_private_X16_metawrap_bin.2_genomic.fna</t>
  </si>
  <si>
    <t>seq13</t>
  </si>
  <si>
    <t>private_T1889_metawrap_bin.7</t>
  </si>
  <si>
    <t>GCA_964242265.1_private_T1889_metawrap_bin.7_genomic.fna</t>
  </si>
  <si>
    <t>seq14</t>
  </si>
  <si>
    <t>public_SRR11456913_metawrap_bin.13</t>
  </si>
  <si>
    <t>GCA_964242785.1_public_SRR11456913_metawrap_bin.13_genomic.fna</t>
  </si>
  <si>
    <t>seq17</t>
  </si>
  <si>
    <t>private_GTX0163_metawrap_bin.14</t>
  </si>
  <si>
    <t>GCA_964243135.1_private_GTX0163_metawrap_bin.14_genomic.fna</t>
  </si>
  <si>
    <t>seq19</t>
  </si>
  <si>
    <t>public_SRR11456919_metawrap_bin.3</t>
  </si>
  <si>
    <t>GCA_964244255.1_public_SRR11456919_metawrap_bin.3_genomic.fna</t>
  </si>
  <si>
    <t>seq21</t>
  </si>
  <si>
    <t>private_T1916_metawrap_bin.6</t>
  </si>
  <si>
    <t>GCA_964245215.1_private_T1916_metawrap_bin.6_genomic.fna</t>
  </si>
  <si>
    <t>seq25</t>
  </si>
  <si>
    <t>public_SRR14722163_metawrap_bin.2</t>
  </si>
  <si>
    <t>GCA_964249275.1_public_SRR14722163_metawrap_bin.2_genomic.fna</t>
  </si>
  <si>
    <t>seq27</t>
  </si>
  <si>
    <t>public_SRR14722130_metawrap_bin.2</t>
  </si>
  <si>
    <t>GCA_964252585.1_public_SRR14722130_metawrap_bin.2_genomic.fna</t>
  </si>
  <si>
    <t>seq29</t>
  </si>
  <si>
    <t>abba_bin.18.orig</t>
  </si>
  <si>
    <t>abba_bin.18.orig.fa</t>
  </si>
  <si>
    <t>seq31</t>
  </si>
  <si>
    <t>abba_bin.37.orig</t>
  </si>
  <si>
    <t>abba_bin.37.orig.fa</t>
  </si>
  <si>
    <t>seq42</t>
  </si>
  <si>
    <t>abba_bin.66.orig</t>
  </si>
  <si>
    <t>abba_bin.66.orig.fa</t>
  </si>
  <si>
    <t>seq50</t>
  </si>
  <si>
    <t>GCA_964657515.1_Boreal_Moss_Metagenome_Coassembled_MAG_Green_AP_13_genomic.fna</t>
  </si>
  <si>
    <t>Moss</t>
  </si>
  <si>
    <t>seq15</t>
  </si>
  <si>
    <t>private_GTX0158_metawrap_bin.6</t>
  </si>
  <si>
    <t>GCA_964243035.1_private_GTX0158_metawrap_bin.6_genomic.fna</t>
  </si>
  <si>
    <t>seq16</t>
  </si>
  <si>
    <t>private_GTX0163_metawrap_bin.18</t>
  </si>
  <si>
    <t>GCA_964243125.1_private_GTX0163_metawrap_bin.18_genomic.fna</t>
  </si>
  <si>
    <t>seq18</t>
  </si>
  <si>
    <t>private_T1916_metawrap_bin.13</t>
  </si>
  <si>
    <t>GCA_964243405.1_private_T1916_metawrap_bin.13_genomic.fna</t>
  </si>
  <si>
    <t>seq20</t>
  </si>
  <si>
    <t>public_SRR12240183_metawrap_bin.1</t>
  </si>
  <si>
    <t>GCA_964245085.1_public_SRR12240183_metawrap_bin.1_genomic.fna</t>
  </si>
  <si>
    <t>seq22</t>
  </si>
  <si>
    <t>public_SRR11456919_metawrap_bin.13</t>
  </si>
  <si>
    <t>GCA_964245915.1_public_SRR11456919_metawrap_bin.13_genomic.fna</t>
  </si>
  <si>
    <t>seq23</t>
  </si>
  <si>
    <t>public_SRR14721964_metawrap_bin.1</t>
  </si>
  <si>
    <t>GCA_964246815.1_public_SRR14721964_metawrap_bin.1_genomic.fna</t>
  </si>
  <si>
    <t>seq24</t>
  </si>
  <si>
    <t>private_T1888_metawrap_bin.15</t>
  </si>
  <si>
    <t>GCA_964247575.1_private_T1888_metawrap_bin.15_genomic.fna</t>
  </si>
  <si>
    <t>seq26</t>
  </si>
  <si>
    <t>public_SRR11456913_metawrap_bin.5</t>
  </si>
  <si>
    <t>GCA_964252065.1_public_SRR11456913_metawrap_bin.5_genomic.fna</t>
  </si>
  <si>
    <t>seq32</t>
  </si>
  <si>
    <t>abba_bin.40.orig</t>
  </si>
  <si>
    <t>abba_bin.40.orig.fa</t>
  </si>
  <si>
    <t>seq33</t>
  </si>
  <si>
    <t>abba_bin.42.orig</t>
  </si>
  <si>
    <t>abba_bin.42.orig.fa</t>
  </si>
  <si>
    <t>seq34</t>
  </si>
  <si>
    <t>coco_bin.22.orig</t>
  </si>
  <si>
    <t>coco_bin.22.orig.fa</t>
  </si>
  <si>
    <t>seq43</t>
  </si>
  <si>
    <t>acsa_bin.4.orig</t>
  </si>
  <si>
    <t>acsa_bin.4.orig.fa</t>
  </si>
  <si>
    <t>seq49</t>
  </si>
  <si>
    <t>thoc_bin.9.orig</t>
  </si>
  <si>
    <t>thoc_bin.9.orig.fa</t>
  </si>
  <si>
    <t>seq36</t>
  </si>
  <si>
    <t>thoc_bin.22.orig</t>
  </si>
  <si>
    <t>thoc_bin.22.orig.fa</t>
  </si>
  <si>
    <t>seq40</t>
  </si>
  <si>
    <t>abba_bin.11.orig</t>
  </si>
  <si>
    <t>abba_bin.11.orig.fa</t>
  </si>
  <si>
    <t>seq51</t>
  </si>
  <si>
    <t>Enterovirga_sp</t>
  </si>
  <si>
    <t>GCA_964241925.1_public_ERR4179390_metawrap_bin.5_genomic.fna</t>
  </si>
  <si>
    <t>seq52</t>
  </si>
  <si>
    <t>GCA_964242715.1_private_T1887_metawrap_bin.11_genomic.fna</t>
  </si>
  <si>
    <t>seq53</t>
  </si>
  <si>
    <t>GCA_964244795.1_public_SRR11456921_metawrap_bin.21_genomic.fna</t>
  </si>
  <si>
    <t>seq54</t>
  </si>
  <si>
    <t>GCA_964245795.1_public_SRR14722230_metawrap_bin.3_genomic.fna</t>
  </si>
  <si>
    <t>seq55</t>
  </si>
  <si>
    <t>GCA_964250725.1_public_SRR11456913_metawrap_bin.7_genomic.fna</t>
  </si>
  <si>
    <t>seq56</t>
  </si>
  <si>
    <t>GCA_964251455.1_private_T1887_metawrap_bin.13_genomic.fna</t>
  </si>
  <si>
    <t>seq57</t>
  </si>
  <si>
    <t>Methylobacterium_sp</t>
  </si>
  <si>
    <t>GCA_964242245.1_public_SRR11456913_metawrap_bin.15_genomic.fna</t>
  </si>
  <si>
    <t>seq58</t>
  </si>
  <si>
    <t>GCA_964242725.1_private_T1888_metawrap_bin.14_genomic.fna</t>
  </si>
  <si>
    <t>seq59</t>
  </si>
  <si>
    <t>GCA_964244095.1_public_SRR11456914_metawrap_bin.24_genomic.fna</t>
  </si>
  <si>
    <t>seq60</t>
  </si>
  <si>
    <t>GCA_964245765.1_public_SRR14722230_metawrap_bin.1_genomic.fna</t>
  </si>
  <si>
    <t>seq61</t>
  </si>
  <si>
    <t>GCA_964249385.1_public_SRR14722169_metawrap_bin.2_genomic.fna</t>
  </si>
  <si>
    <t>seq62</t>
  </si>
  <si>
    <t>GCA_964251405.1_private_T1887_metawrap_bin.8_genomic.fna</t>
  </si>
  <si>
    <t>seq79</t>
  </si>
  <si>
    <t>GCA_964657815.1_Boreal_Moss_Metagenome_Coassembled_MAG_Green_R_1_genomic.fna</t>
  </si>
  <si>
    <t>seq80</t>
  </si>
  <si>
    <t>GCA_964658355.1_Boreal_Moss_Metagenome_Coassembled_MAG_Green_AP_3_genomic.fna</t>
  </si>
  <si>
    <t>seq81</t>
  </si>
  <si>
    <t>GCA_964658465.1_Boreal_Moss_Metagenome_Coassembled_MAG_Green_AP_4_genomic.fna</t>
  </si>
  <si>
    <t>seq28</t>
  </si>
  <si>
    <t>abba_bin.3.orig</t>
  </si>
  <si>
    <t>abba_bin.3.orig.fa</t>
  </si>
  <si>
    <t>seq37</t>
  </si>
  <si>
    <t>thoc_bin.37.orig</t>
  </si>
  <si>
    <t>thoc_bin.37.orig.fa</t>
  </si>
  <si>
    <t>seq38</t>
  </si>
  <si>
    <t>thoc_bin.47.orig</t>
  </si>
  <si>
    <t>thoc_bin.47.orig.fa</t>
  </si>
  <si>
    <t>seq39</t>
  </si>
  <si>
    <t>abba_bin.1.orig</t>
  </si>
  <si>
    <t>abba_bin.1.orig.fa</t>
  </si>
  <si>
    <t>seq46</t>
  </si>
  <si>
    <t>thoc_bin.18.orig</t>
  </si>
  <si>
    <t>thoc_bin.18.orig.fa</t>
  </si>
  <si>
    <t>seq63</t>
  </si>
  <si>
    <t>GCA_964657435.1_Boreal_Moss_Metagenome_Coassembled_MAG_Green_K_3_genomic.fna</t>
  </si>
  <si>
    <t>seq35</t>
  </si>
  <si>
    <t>coco_bin.33.orig</t>
  </si>
  <si>
    <t>coco_bin.33.orig.fa</t>
  </si>
  <si>
    <t>seq41</t>
  </si>
  <si>
    <t>abba_bin.44.orig</t>
  </si>
  <si>
    <t>abba_bin.44.orig.fa</t>
  </si>
  <si>
    <t>seq44</t>
  </si>
  <si>
    <t>acsa_bin.7.orig</t>
  </si>
  <si>
    <t>acsa_bin.7.orig.fa</t>
  </si>
  <si>
    <t>seq45</t>
  </si>
  <si>
    <t>fagr_bin.7.orig</t>
  </si>
  <si>
    <t>fagr_bin.7.orig.fa</t>
  </si>
  <si>
    <t>seq47</t>
  </si>
  <si>
    <t>thoc_bin.20.orig</t>
  </si>
  <si>
    <t>thoc_bin.20.orig.fa</t>
  </si>
  <si>
    <t>seq64</t>
  </si>
  <si>
    <t>GCA_964235705.1_private_VT26_metawrap_bin.1_genomic.fna</t>
  </si>
  <si>
    <t>seq65</t>
  </si>
  <si>
    <t>GCA_964235845.1_private_VT2_metawrap_bin.4_genomic.fna</t>
  </si>
  <si>
    <t>seq66</t>
  </si>
  <si>
    <t>GCA_964243415.1_private_T1916_metawrap_bin.9_genomic.fna</t>
  </si>
  <si>
    <t>seq67</t>
  </si>
  <si>
    <t>GCA_964243425.1_private_T1916_metawrap_bin.12_genomic.fna</t>
  </si>
  <si>
    <t>seq68</t>
  </si>
  <si>
    <t>GCA_964243435.1_private_T1916_metawrap_bin.5_genomic.fna</t>
  </si>
  <si>
    <t>seq69</t>
  </si>
  <si>
    <t>GCA_964244275.1_public_SRR11456919_metawrap_bin.7_genomic.fna</t>
  </si>
  <si>
    <t>seq70</t>
  </si>
  <si>
    <t>GCA_964244495.1_private_TS1974_metawrap_bin.3_genomic.fna</t>
  </si>
  <si>
    <t>seq72</t>
  </si>
  <si>
    <t>GCA_964245015.1_public_SRR13685165_metawrap_bin.1_genomic.fna</t>
  </si>
  <si>
    <t>seq73</t>
  </si>
  <si>
    <t>GCA_964246205.1_public_SRR14722129_metawrap_bin.1_genomic.fna</t>
  </si>
  <si>
    <t>seq74</t>
  </si>
  <si>
    <t>GCA_964246855.1_public_SRR14722022_metawrap_bin.1_genomic.fna</t>
  </si>
  <si>
    <t>seq76</t>
  </si>
  <si>
    <t>GCA_964247745.1_private_T1894_metawrap_bin.9_genomic.fna</t>
  </si>
  <si>
    <t>seq77</t>
  </si>
  <si>
    <t>GCA_964249355.1_public_SRR14722170_metawrap_bin.3_genomic.fna</t>
  </si>
  <si>
    <t>seq78</t>
  </si>
  <si>
    <t>GCA_964250285.1_public_SRR14722301_metawrap_bin.5_genomic.fna</t>
  </si>
  <si>
    <t>seq75</t>
  </si>
  <si>
    <t>GCA_964247205.1_public_SRR11456922_metawrap_bin.5_genomic.fna</t>
  </si>
  <si>
    <t>size</t>
  </si>
  <si>
    <t>contigs</t>
  </si>
  <si>
    <t>N50</t>
  </si>
  <si>
    <t>GC</t>
  </si>
  <si>
    <t>peg</t>
  </si>
  <si>
    <t>rna</t>
  </si>
  <si>
    <t>repeat</t>
  </si>
  <si>
    <t>other</t>
  </si>
  <si>
    <t>unique</t>
  </si>
  <si>
    <t>hypothetical</t>
  </si>
  <si>
    <t>0.676435096142022</t>
  </si>
  <si>
    <t>0.698840766160855</t>
  </si>
  <si>
    <t>0.685190351310508</t>
  </si>
  <si>
    <t>0.5698295574904</t>
  </si>
  <si>
    <t>0.572369179698951</t>
  </si>
  <si>
    <t>0.618490760371657</t>
  </si>
  <si>
    <t>0.613412571534487</t>
  </si>
  <si>
    <t>0.617452224551732</t>
  </si>
  <si>
    <t>0.611729761422135</t>
  </si>
  <si>
    <t>0.63083362172884</t>
  </si>
  <si>
    <t>0.617925932023098</t>
  </si>
  <si>
    <t>0.595430046597196</t>
  </si>
  <si>
    <t>0.623065687500227</t>
  </si>
  <si>
    <t>0.66097644142801</t>
  </si>
  <si>
    <t>0.669118976269539</t>
  </si>
  <si>
    <t>0.66378556142799</t>
  </si>
  <si>
    <t>0.648013615668293</t>
  </si>
  <si>
    <t>0.66668967551969</t>
  </si>
  <si>
    <t>0.66998886297881</t>
  </si>
  <si>
    <t>0.685861531446508</t>
  </si>
  <si>
    <t>0.658388852586117</t>
  </si>
  <si>
    <t>0.663413651902605</t>
  </si>
  <si>
    <t>0.668859812165719</t>
  </si>
  <si>
    <t>0.663832638507945</t>
  </si>
  <si>
    <t>0.673843482283686</t>
  </si>
  <si>
    <t>0.654117912019099</t>
  </si>
  <si>
    <t>0.658668055275203</t>
  </si>
  <si>
    <t>0.70526176221007</t>
  </si>
  <si>
    <t>0.647456638878677</t>
  </si>
  <si>
    <t>0.662614478963485</t>
  </si>
  <si>
    <t>0.692594987463432</t>
  </si>
  <si>
    <t>0.639922062315625</t>
  </si>
  <si>
    <t>0.685249762422345</t>
  </si>
  <si>
    <t>0.68095664618162</t>
  </si>
  <si>
    <t>0.67987881129571</t>
  </si>
  <si>
    <t>0.677701946583034</t>
  </si>
  <si>
    <t>0.613278316025204</t>
  </si>
  <si>
    <t>0.653269125417423</t>
  </si>
  <si>
    <t>0.645719700952648</t>
  </si>
  <si>
    <t>0.712114691607542</t>
  </si>
  <si>
    <t>0.705208855383757</t>
  </si>
  <si>
    <t>0.708154434661231</t>
  </si>
  <si>
    <t>0.636526365403219</t>
  </si>
  <si>
    <t>0.66933660494588</t>
  </si>
  <si>
    <t>0.630736686446199</t>
  </si>
  <si>
    <t>0.629876269781925</t>
  </si>
  <si>
    <t>0.631522252383534</t>
  </si>
  <si>
    <t>0.687752563331743</t>
  </si>
  <si>
    <t>0.685428420463849</t>
  </si>
  <si>
    <t>0.482718916243924</t>
  </si>
  <si>
    <t>0.666012702387216</t>
  </si>
  <si>
    <t>0.695618923264442</t>
  </si>
  <si>
    <t>0.730488339545835</t>
  </si>
  <si>
    <t>0.687440808735522</t>
  </si>
  <si>
    <t>0.697739499638677</t>
  </si>
  <si>
    <t>0.677857456642392</t>
  </si>
  <si>
    <t>0.711063731087895</t>
  </si>
  <si>
    <t>0.710357108259962</t>
  </si>
  <si>
    <t>0.674747729240504</t>
  </si>
  <si>
    <t>0.684438165217826</t>
  </si>
  <si>
    <t>0.699921169942969</t>
  </si>
  <si>
    <t>0.71863922742786</t>
  </si>
  <si>
    <t>0.704468386797468</t>
  </si>
  <si>
    <t>0.66537350974903</t>
  </si>
  <si>
    <t>0.677038764355507</t>
  </si>
  <si>
    <t>0.695967980993882</t>
  </si>
  <si>
    <t>0.666760417428124</t>
  </si>
  <si>
    <t>0.696765734834551</t>
  </si>
  <si>
    <t>0.706270291106739</t>
  </si>
  <si>
    <t>0.715024831895981</t>
  </si>
  <si>
    <t>0.680704769393082</t>
  </si>
  <si>
    <t>0.693610922584617</t>
  </si>
  <si>
    <t>0.697419226135831</t>
  </si>
  <si>
    <t>0.626696608708645</t>
  </si>
  <si>
    <t>0.640125938343084</t>
  </si>
  <si>
    <t>0.634230211849854</t>
  </si>
  <si>
    <t>0.631968012561525</t>
  </si>
  <si>
    <t>0.638773724348941</t>
  </si>
  <si>
    <t>0.63021607567852</t>
  </si>
  <si>
    <t>0.62427513794661</t>
  </si>
  <si>
    <t>0.63156611569234</t>
  </si>
  <si>
    <t>0.633558373519607</t>
  </si>
  <si>
    <t>0.624988368656828</t>
  </si>
  <si>
    <t>0.62602320333487</t>
  </si>
  <si>
    <t>0.624969346684613</t>
  </si>
  <si>
    <t>0.65248603680288</t>
  </si>
  <si>
    <t>0.65945274935211</t>
  </si>
  <si>
    <t>0.683699741977389</t>
  </si>
  <si>
    <t>0.684060394478512</t>
  </si>
  <si>
    <t>0.682631907563371</t>
  </si>
  <si>
    <t>0.65235649144136</t>
  </si>
  <si>
    <t>0.63696646778216</t>
  </si>
  <si>
    <t>0.638489534925374</t>
  </si>
  <si>
    <t>0.682448412570441</t>
  </si>
  <si>
    <t>0.705846397603608</t>
  </si>
  <si>
    <t>0.717784235881013</t>
  </si>
  <si>
    <t>0.700700800004185</t>
  </si>
  <si>
    <t>0.625558515363618</t>
  </si>
  <si>
    <t>0.624749825561799</t>
  </si>
  <si>
    <t>0.66653370229998</t>
  </si>
  <si>
    <t>0.679236140794952</t>
  </si>
  <si>
    <t>0.664988047144723</t>
  </si>
  <si>
    <t>0.66481381988344</t>
  </si>
  <si>
    <t>0.703597426544334</t>
  </si>
  <si>
    <t>0.712761293644793</t>
  </si>
  <si>
    <t>0.71422312279759</t>
  </si>
  <si>
    <t>0.691586470494757</t>
  </si>
  <si>
    <t>0.656596367055178</t>
  </si>
  <si>
    <t>0.674265773068986</t>
  </si>
  <si>
    <t>0.660965578388586</t>
  </si>
  <si>
    <t>0.662194097991049</t>
  </si>
  <si>
    <t>0.646077035537357</t>
  </si>
  <si>
    <t>0.637854647736148</t>
  </si>
  <si>
    <t>0.693393831454946</t>
  </si>
  <si>
    <t>0.724294800823964</t>
  </si>
  <si>
    <t>0.701609260929967</t>
  </si>
  <si>
    <t>0.69439959557087</t>
  </si>
  <si>
    <t>0.661707587430873</t>
  </si>
  <si>
    <t>0.648563945556247</t>
  </si>
  <si>
    <t>0.67284950483415</t>
  </si>
  <si>
    <t>0.685002427608599</t>
  </si>
  <si>
    <t>0.70318497256186</t>
  </si>
  <si>
    <t>0.666726787595621</t>
  </si>
  <si>
    <t>0.697232526013835</t>
  </si>
  <si>
    <t>0.660279655553041</t>
  </si>
  <si>
    <t>0.652052279874433</t>
  </si>
  <si>
    <t>0.658844102334792</t>
  </si>
  <si>
    <t>0.653740813604634</t>
  </si>
  <si>
    <t>0.653988357090481</t>
  </si>
  <si>
    <t>0.689490446763878</t>
  </si>
  <si>
    <t>0.678713495547508</t>
  </si>
  <si>
    <t>0.706379951927782</t>
  </si>
  <si>
    <t>0.705662767635207</t>
  </si>
  <si>
    <t>0.693568765923299</t>
  </si>
  <si>
    <t>0.675190316816568</t>
  </si>
  <si>
    <t>0.707937175010693</t>
  </si>
  <si>
    <t>0.707241711361914</t>
  </si>
  <si>
    <t>0.710965171358175</t>
  </si>
  <si>
    <t>0.710165004685967</t>
  </si>
  <si>
    <t>0.699162339234181</t>
  </si>
  <si>
    <t>0.68218541001238</t>
  </si>
  <si>
    <t>0.680540180081927</t>
  </si>
  <si>
    <t>0.694272540852404</t>
  </si>
  <si>
    <t>0.692331690856644</t>
  </si>
  <si>
    <t>0.716253535618957</t>
  </si>
  <si>
    <t>0.682281160608431</t>
  </si>
  <si>
    <t>0.704662775498895</t>
  </si>
  <si>
    <t>0.68759625691835</t>
  </si>
  <si>
    <t>0.716539909454083</t>
  </si>
  <si>
    <t>0.640964170077822</t>
  </si>
  <si>
    <t>0.681913377634527</t>
  </si>
  <si>
    <t>0.677819030883727</t>
  </si>
  <si>
    <t>0.680438829898854</t>
  </si>
  <si>
    <t>0.684611742120348</t>
  </si>
  <si>
    <t>0.68405619071123</t>
  </si>
  <si>
    <t>0.692735859408901</t>
  </si>
  <si>
    <t>0.669160720334615</t>
  </si>
  <si>
    <t>0.65037963454196</t>
  </si>
  <si>
    <t>0.672892906563441</t>
  </si>
  <si>
    <t>0.699817123671314</t>
  </si>
  <si>
    <t>0.643849817500011</t>
  </si>
  <si>
    <t>0.690965687806083</t>
  </si>
  <si>
    <t>0.680355525126345</t>
  </si>
  <si>
    <t>0.673829591536921</t>
  </si>
  <si>
    <t>0.687971188897516</t>
  </si>
  <si>
    <t>0.679684814844331</t>
  </si>
  <si>
    <t>0.690508587603021</t>
  </si>
  <si>
    <t>0.653304817079389</t>
  </si>
  <si>
    <t>0.613505227182806</t>
  </si>
  <si>
    <t>6666666.1425162.txt</t>
  </si>
  <si>
    <t>6666666.1425169.txt</t>
  </si>
  <si>
    <t>6666666.1425153.txt</t>
  </si>
  <si>
    <t>6666666.1425190.txt</t>
  </si>
  <si>
    <t>6666666.1425193.txt</t>
  </si>
  <si>
    <t>6666666.1425192.txt</t>
  </si>
  <si>
    <t>6666666.1425194.txt</t>
  </si>
  <si>
    <t>6666666.1151854.txt</t>
  </si>
  <si>
    <t>6666666.1425197.txt</t>
  </si>
  <si>
    <t>6666666.1151855.txt</t>
  </si>
  <si>
    <t>6666666.1425196.txt</t>
  </si>
  <si>
    <t>6666666.1425191.txt</t>
  </si>
  <si>
    <t>6666666.1425195.txt</t>
  </si>
  <si>
    <t>6666666.1425177.txt</t>
  </si>
  <si>
    <t>6666666.1425155.txt</t>
  </si>
  <si>
    <t>6666666.1425184.txt</t>
  </si>
  <si>
    <t>6666666.1425187.txt</t>
  </si>
  <si>
    <t>6666666.1425188.txt</t>
  </si>
  <si>
    <t>6666666.1425183.txt</t>
  </si>
  <si>
    <t>6666666.1425171.txt</t>
  </si>
  <si>
    <t>6666666.1425152.txt</t>
  </si>
  <si>
    <t>6666666.1425186.txt</t>
  </si>
  <si>
    <t>6666666.1425178.txt</t>
  </si>
  <si>
    <t>6666666.1425165.txt</t>
  </si>
  <si>
    <t>6666666.1425189.txt</t>
  </si>
  <si>
    <t>6666666.1425151.txt</t>
  </si>
  <si>
    <t>6666666.1425176.txt</t>
  </si>
  <si>
    <t>6666666.1425182.txt</t>
  </si>
  <si>
    <t>6666666.1425164.txt</t>
  </si>
  <si>
    <t>6666666.1425185.txt</t>
  </si>
  <si>
    <t>6666666.1425175.txt</t>
  </si>
  <si>
    <t>6666666.1425166.txt</t>
  </si>
  <si>
    <t>6666666.1425161.txt</t>
  </si>
  <si>
    <t>6666666.1425167.txt</t>
  </si>
  <si>
    <t>6666666.1425163.txt</t>
  </si>
  <si>
    <t>6666666.1425150.txt</t>
  </si>
  <si>
    <t>6666666.1425160.txt</t>
  </si>
  <si>
    <t>6666666.1425181.txt</t>
  </si>
  <si>
    <t>6666666.1425198.txt</t>
  </si>
  <si>
    <t>6666666.1391984.txt</t>
  </si>
  <si>
    <t>6666666.1391981.txt</t>
  </si>
  <si>
    <t>6666666.1391980.txt</t>
  </si>
  <si>
    <t>6666666.1391986.txt</t>
  </si>
  <si>
    <t>6666666.1391987.txt</t>
  </si>
  <si>
    <t>6666666.1391982.txt</t>
  </si>
  <si>
    <t>6666666.1391983.txt</t>
  </si>
  <si>
    <t>6666666.1391985.txt</t>
  </si>
  <si>
    <t>6666666.1425158.txt</t>
  </si>
  <si>
    <t>6666666.1425180.txt</t>
  </si>
  <si>
    <t>6666666.1425179.txt</t>
  </si>
  <si>
    <t>6666666.1425174.txt</t>
  </si>
  <si>
    <t>6666666.1151960.txt</t>
  </si>
  <si>
    <t>6666666.1425157.txt</t>
  </si>
  <si>
    <t>6666666.1425156.txt</t>
  </si>
  <si>
    <t>6666666.1425173.txt</t>
  </si>
  <si>
    <t>6666666.1425172.txt</t>
  </si>
  <si>
    <t>6666666.1425149.txt</t>
  </si>
  <si>
    <t>6666666.1425159.txt</t>
  </si>
  <si>
    <t>6666666.1425170.txt</t>
  </si>
  <si>
    <t>6666666.1425154.txt</t>
  </si>
  <si>
    <t>6666666.1425148.txt</t>
  </si>
  <si>
    <t>6666666.1151969.txt</t>
  </si>
  <si>
    <t>6666666.1151970.txt</t>
  </si>
  <si>
    <t>6666666.1425205.txt</t>
  </si>
  <si>
    <t>6666666.1151872.txt</t>
  </si>
  <si>
    <t>6666666.1425168.txt</t>
  </si>
  <si>
    <t>6666666.1151873.txt</t>
  </si>
  <si>
    <t>6666666.1391979.txt</t>
  </si>
  <si>
    <t>6666666.1151885.txt</t>
  </si>
  <si>
    <t>6666666.1151886.txt</t>
  </si>
  <si>
    <t>6666666.1151887.txt</t>
  </si>
  <si>
    <t>6666666.1414574.txt</t>
  </si>
  <si>
    <t>6666666.1415155.txt</t>
  </si>
  <si>
    <t>6666666.1425135.txt</t>
  </si>
  <si>
    <t>6666666.1391988.txt</t>
  </si>
  <si>
    <t>6666666.1391989.txt</t>
  </si>
  <si>
    <t>6666666.1391990.txt</t>
  </si>
  <si>
    <t>6666666.1391991.txt</t>
  </si>
  <si>
    <t>6666666.1391992.txt</t>
  </si>
  <si>
    <t>6666666.1391996.txt</t>
  </si>
  <si>
    <t>6666666.1391998.txt</t>
  </si>
  <si>
    <t>6666666.1392000.txt</t>
  </si>
  <si>
    <t>6666666.1392004.txt</t>
  </si>
  <si>
    <t>6666666.1392006.txt</t>
  </si>
  <si>
    <t>6666666.1414571.txt</t>
  </si>
  <si>
    <t>6666666.1414578.txt</t>
  </si>
  <si>
    <t>6666666.1414781.txt</t>
  </si>
  <si>
    <t>6666666.1425230.txt</t>
  </si>
  <si>
    <t>6666666.1391994.txt</t>
  </si>
  <si>
    <t>6666666.1391995.txt</t>
  </si>
  <si>
    <t>6666666.1391997.txt</t>
  </si>
  <si>
    <t>6666666.1391999.txt</t>
  </si>
  <si>
    <t>6666666.1392001.txt</t>
  </si>
  <si>
    <t>6666666.1392002.txt</t>
  </si>
  <si>
    <t>6666666.1392003.txt</t>
  </si>
  <si>
    <t>6666666.1392005.txt</t>
  </si>
  <si>
    <t>6666666.1414582.txt</t>
  </si>
  <si>
    <t>6666666.1414587.txt</t>
  </si>
  <si>
    <t>6666666.1414594.txt</t>
  </si>
  <si>
    <t>6666666.1415128.txt</t>
  </si>
  <si>
    <t>6666666.1415159.txt</t>
  </si>
  <si>
    <t>6666666.1414601.txt</t>
  </si>
  <si>
    <t>6666666.1414769.txt</t>
  </si>
  <si>
    <t>6666666.1425115.txt</t>
  </si>
  <si>
    <t>6666666.1425116.txt</t>
  </si>
  <si>
    <t>6666666.1425117.txt</t>
  </si>
  <si>
    <t>6666666.1425118.txt</t>
  </si>
  <si>
    <t>6666666.1425119.txt</t>
  </si>
  <si>
    <t>6666666.1425120.txt</t>
  </si>
  <si>
    <t>6666666.1425121.txt</t>
  </si>
  <si>
    <t>6666666.1425122.txt</t>
  </si>
  <si>
    <t>6666666.1425123.txt</t>
  </si>
  <si>
    <t>6666666.1425124.txt</t>
  </si>
  <si>
    <t>6666666.1425125.txt</t>
  </si>
  <si>
    <t>6666666.1425126.txt</t>
  </si>
  <si>
    <t>6666666.1425231.txt</t>
  </si>
  <si>
    <t>6666666.1425232.txt</t>
  </si>
  <si>
    <t>6666666.1425233.txt</t>
  </si>
  <si>
    <t>6666666.1414565.txt</t>
  </si>
  <si>
    <t>6666666.1414604.txt</t>
  </si>
  <si>
    <t>6666666.1414608.txt</t>
  </si>
  <si>
    <t>6666666.1414764.txt</t>
  </si>
  <si>
    <t>6666666.1415144.txt</t>
  </si>
  <si>
    <t>6666666.1425229.txt</t>
  </si>
  <si>
    <t>6666666.1414598.txt</t>
  </si>
  <si>
    <t>6666666.1414773.txt</t>
  </si>
  <si>
    <t>6666666.1415135.txt</t>
  </si>
  <si>
    <t>6666666.1415141.txt</t>
  </si>
  <si>
    <t>6666666.1415147.txt</t>
  </si>
  <si>
    <t>6666666.1425128.txt</t>
  </si>
  <si>
    <t>6666666.1425129.txt</t>
  </si>
  <si>
    <t>6666666.1425130.txt</t>
  </si>
  <si>
    <t>6666666.1425131.txt</t>
  </si>
  <si>
    <t>6666666.1425132.txt</t>
  </si>
  <si>
    <t>6666666.1425133.txt</t>
  </si>
  <si>
    <t>6666666.1425134.txt</t>
  </si>
  <si>
    <t>6666666.1425136.txt</t>
  </si>
  <si>
    <t>6666666.1425137.txt</t>
  </si>
  <si>
    <t>6666666.1425138.txt</t>
  </si>
  <si>
    <t>6666666.1425142.txt</t>
  </si>
  <si>
    <t>6666666.1425143.txt</t>
  </si>
  <si>
    <t>6666666.1425144.txt</t>
  </si>
  <si>
    <t>6666666.1425139.txt</t>
  </si>
  <si>
    <t>6666666.688674.txt</t>
  </si>
  <si>
    <t>6666666.688667.txt</t>
  </si>
  <si>
    <t>6666666.688721.txt</t>
  </si>
  <si>
    <t>6666666.688715.txt</t>
  </si>
  <si>
    <t>6666666.879398.txt</t>
  </si>
  <si>
    <t>6666666.688612.txt</t>
  </si>
  <si>
    <t>6666666.673108.txt</t>
  </si>
  <si>
    <t>6666666.673028.txt</t>
  </si>
  <si>
    <t>6666666.879404.txt</t>
  </si>
  <si>
    <t>6666666.879405.txt</t>
  </si>
  <si>
    <t>6666666.879406.txt</t>
  </si>
  <si>
    <t>6666666.879407.txt</t>
  </si>
  <si>
    <t>6666666.673022.txt</t>
  </si>
  <si>
    <t>6666666.879411.txt</t>
  </si>
  <si>
    <t>6666666.673124.txt</t>
  </si>
  <si>
    <t>6666666.673110.txt</t>
  </si>
  <si>
    <t>6666666.673191.txt</t>
  </si>
  <si>
    <t>6666666.673049.txt</t>
  </si>
  <si>
    <t>6666666.673041.txt</t>
  </si>
  <si>
    <t>6666666.688673.txt</t>
  </si>
  <si>
    <t>6666666.673059.txt</t>
  </si>
  <si>
    <t>6666666.673114.txt</t>
  </si>
  <si>
    <t>6666666.673020.txt</t>
  </si>
  <si>
    <t>6666666.879421.txt</t>
  </si>
  <si>
    <t>6666666.688661.txt</t>
  </si>
  <si>
    <t>6666666.879416.txt</t>
  </si>
  <si>
    <t>6666666.688605.txt</t>
  </si>
  <si>
    <t>rpoB</t>
  </si>
  <si>
    <t>16S rRNA</t>
  </si>
  <si>
    <t>yes</t>
  </si>
  <si>
    <t>-</t>
  </si>
  <si>
    <t>short assembly code name in this study</t>
  </si>
  <si>
    <t>Family</t>
  </si>
  <si>
    <t>genus and species currated according to phylogenomics (may be different from the original publication)</t>
  </si>
  <si>
    <t>family currated according to phylogenomics (may be different from the original publication)</t>
  </si>
  <si>
    <t>Genomics or Metagenomics</t>
  </si>
  <si>
    <t>number of protein-encoding genes (RAST annotation file)</t>
  </si>
  <si>
    <t>number of rna genes (RAST annotation file)</t>
  </si>
  <si>
    <t>number of repeats (RAST annotation file)</t>
  </si>
  <si>
    <t>number of other annotations (RAST annotation file)</t>
  </si>
  <si>
    <t xml:space="preserve">number of unique annotations (RAST annotation file)		</t>
  </si>
  <si>
    <t xml:space="preserve">number of hypothetical proteins (RAST annotation file)		</t>
  </si>
  <si>
    <t xml:space="preserve">could the rpoB gene sequence be retrieved for this assembly?	</t>
  </si>
  <si>
    <t xml:space="preserve">could the 16S rRNA gene sequence be retrieved for this assembly?	</t>
  </si>
  <si>
    <t>public_SRR12240177_metawrap_bin.1</t>
  </si>
  <si>
    <t>Alsobacter</t>
  </si>
  <si>
    <t>metallidurans</t>
  </si>
  <si>
    <t>CGMCC</t>
  </si>
  <si>
    <t>1.12214</t>
  </si>
  <si>
    <t>DNA,</t>
  </si>
  <si>
    <t>sequence1,</t>
  </si>
  <si>
    <t>whole</t>
  </si>
  <si>
    <t>genome</t>
  </si>
  <si>
    <t>shotgun</t>
  </si>
  <si>
    <t>sequence</t>
  </si>
  <si>
    <t>ponti</t>
  </si>
  <si>
    <t>strain</t>
  </si>
  <si>
    <t>SYSU</t>
  </si>
  <si>
    <t>M60028</t>
  </si>
  <si>
    <t>NODE_10_length_169913_cov_146.641160,</t>
  </si>
  <si>
    <t>soli</t>
  </si>
  <si>
    <t>SH9</t>
  </si>
  <si>
    <t>scaffold1,</t>
  </si>
  <si>
    <t>Beijerinckia</t>
  </si>
  <si>
    <t>indica</t>
  </si>
  <si>
    <t>subsp.</t>
  </si>
  <si>
    <t>ATCC</t>
  </si>
  <si>
    <t>complete</t>
  </si>
  <si>
    <t>mobilis</t>
  </si>
  <si>
    <t>UQM</t>
  </si>
  <si>
    <t>DL88DRAFT_scaffold00001.1_C,</t>
  </si>
  <si>
    <t>Methylocapsa</t>
  </si>
  <si>
    <t>acidiphila</t>
  </si>
  <si>
    <t>B2</t>
  </si>
  <si>
    <t>MetacDRAFT_Contig20.1_C,</t>
  </si>
  <si>
    <t>aurea</t>
  </si>
  <si>
    <t>KYG</t>
  </si>
  <si>
    <t>DL86DRAFT_scaffold00001.1_C,</t>
  </si>
  <si>
    <t>palsarum</t>
  </si>
  <si>
    <t>polymorpha</t>
  </si>
  <si>
    <t>RX1</t>
  </si>
  <si>
    <t>chromosome,</t>
  </si>
  <si>
    <t>Methylocella</t>
  </si>
  <si>
    <t>silvestris</t>
  </si>
  <si>
    <t>tundrae</t>
  </si>
  <si>
    <t>T4</t>
  </si>
  <si>
    <t>Methyloferula</t>
  </si>
  <si>
    <t>stellata</t>
  </si>
  <si>
    <t>AR4</t>
  </si>
  <si>
    <t>AR4T</t>
  </si>
  <si>
    <t>A3OQDRAFT_chromosome1.1_C,</t>
  </si>
  <si>
    <t>Methylovirgula</t>
  </si>
  <si>
    <t>ligni</t>
  </si>
  <si>
    <t>BW863</t>
  </si>
  <si>
    <t>Bosea</t>
  </si>
  <si>
    <t>beijingensis</t>
  </si>
  <si>
    <t>REN20</t>
  </si>
  <si>
    <t>caraganae</t>
  </si>
  <si>
    <t>RCAM</t>
  </si>
  <si>
    <t>NODE_10_length_191597_cov_39.343459,</t>
  </si>
  <si>
    <t>eneae</t>
  </si>
  <si>
    <t>NCAIM</t>
  </si>
  <si>
    <t>B.01391</t>
  </si>
  <si>
    <t>velvet_auto_105_1,</t>
  </si>
  <si>
    <t>lathyri</t>
  </si>
  <si>
    <t>DSM</t>
  </si>
  <si>
    <t>assembly,</t>
  </si>
  <si>
    <t>contig:</t>
  </si>
  <si>
    <t>Ga0070576_124,</t>
  </si>
  <si>
    <t>lupini</t>
  </si>
  <si>
    <t>LMG</t>
  </si>
  <si>
    <t>26383,CCUG</t>
  </si>
  <si>
    <t>61248,R-</t>
  </si>
  <si>
    <t>Ga0074804_124,</t>
  </si>
  <si>
    <t>massiliensis</t>
  </si>
  <si>
    <t>1.16390</t>
  </si>
  <si>
    <t>minatitlanensis</t>
  </si>
  <si>
    <t>NODE_10_length_182419_cov_16.643764,</t>
  </si>
  <si>
    <t>psychrotolerans</t>
  </si>
  <si>
    <t>Ga0191654_101,</t>
  </si>
  <si>
    <t>robiniae</t>
  </si>
  <si>
    <t>Ga0104481_120,</t>
  </si>
  <si>
    <t>rubneri</t>
  </si>
  <si>
    <t>ZW</t>
  </si>
  <si>
    <t>T0_25</t>
  </si>
  <si>
    <t>ZW_T0_25_contig_001,</t>
  </si>
  <si>
    <t>spartocytisi</t>
  </si>
  <si>
    <t>SSUT16</t>
  </si>
  <si>
    <t>NODE_10_length_172058_cov_6.403435,</t>
  </si>
  <si>
    <t>thiooxidans</t>
  </si>
  <si>
    <t>LX58DRAFT_scaffold00034.34,</t>
  </si>
  <si>
    <t>vaviloviae</t>
  </si>
  <si>
    <t>Vaf18</t>
  </si>
  <si>
    <t>vestrisii</t>
  </si>
  <si>
    <t>A18/4-2</t>
  </si>
  <si>
    <t>Camelimonas</t>
  </si>
  <si>
    <t>abortus</t>
  </si>
  <si>
    <t>CCM</t>
  </si>
  <si>
    <t>tig00000002,</t>
  </si>
  <si>
    <t>fluminis</t>
  </si>
  <si>
    <t>KCTC</t>
  </si>
  <si>
    <t>sequence001,</t>
  </si>
  <si>
    <t>lactis</t>
  </si>
  <si>
    <t>contig_1,</t>
  </si>
  <si>
    <t>Chelatococcus</t>
  </si>
  <si>
    <t>albus</t>
  </si>
  <si>
    <t>G07232</t>
  </si>
  <si>
    <t>NODE_10_length_117640_cov_328.944328,</t>
  </si>
  <si>
    <t>asaccharovorans</t>
  </si>
  <si>
    <t>DSM_6462_1,</t>
  </si>
  <si>
    <t>caeni</t>
  </si>
  <si>
    <t>Ga0373271_01,</t>
  </si>
  <si>
    <t>composti</t>
  </si>
  <si>
    <t>DSM_101465_1,</t>
  </si>
  <si>
    <t>reniformis</t>
  </si>
  <si>
    <t>1.12919</t>
  </si>
  <si>
    <t>sequence01,</t>
  </si>
  <si>
    <t>sambhunathii</t>
  </si>
  <si>
    <t>DSM_18167_01,</t>
  </si>
  <si>
    <t>Pseudochelatococcus</t>
  </si>
  <si>
    <t>contaminans</t>
  </si>
  <si>
    <t>Ga0373298_01,</t>
  </si>
  <si>
    <t>lubricantis</t>
  </si>
  <si>
    <t>platanus_K_default_1,</t>
  </si>
  <si>
    <t>MAG:</t>
  </si>
  <si>
    <t>Proteobacteria</t>
  </si>
  <si>
    <t>bacterium</t>
  </si>
  <si>
    <t>isolate</t>
  </si>
  <si>
    <t>BP5.bin57</t>
  </si>
  <si>
    <t>NODE_26_length_230531_cov_10.833809,</t>
  </si>
  <si>
    <t>Lichenibacterium</t>
  </si>
  <si>
    <t>dinghuense</t>
  </si>
  <si>
    <t>Contig00001,</t>
  </si>
  <si>
    <t>minor</t>
  </si>
  <si>
    <t>NODE_100_length_5756_cov_104.232,</t>
  </si>
  <si>
    <t>ramalinae</t>
  </si>
  <si>
    <t>NODE_102_length_24134_cov_9.46161,</t>
  </si>
  <si>
    <t>Lichenifustis</t>
  </si>
  <si>
    <t>flavocetrariae</t>
  </si>
  <si>
    <t>NODE_100_length_6109_cov_40.145557,</t>
  </si>
  <si>
    <t>Lichenihabitans</t>
  </si>
  <si>
    <t>sp.</t>
  </si>
  <si>
    <t>NODE_100_length_11881_cov_135.387451,</t>
  </si>
  <si>
    <t>psoromatis</t>
  </si>
  <si>
    <t>PAMC</t>
  </si>
  <si>
    <t>LAR29128_ctg_1,</t>
  </si>
  <si>
    <t>Enterovirga</t>
  </si>
  <si>
    <t>aerilata</t>
  </si>
  <si>
    <t>DB1703</t>
  </si>
  <si>
    <t>contig1,</t>
  </si>
  <si>
    <t>Hohaiivirga</t>
  </si>
  <si>
    <t>grylli</t>
  </si>
  <si>
    <t>WL0021</t>
  </si>
  <si>
    <t>NODE_10_length_13379_cov_62.683369,</t>
  </si>
  <si>
    <t>Methylocystis</t>
  </si>
  <si>
    <t>9N</t>
  </si>
  <si>
    <t>NODE_100_length_903_cov_81.404639,</t>
  </si>
  <si>
    <t>bryophila</t>
  </si>
  <si>
    <t>DSM21852</t>
  </si>
  <si>
    <t>echinoides</t>
  </si>
  <si>
    <t>LMG27198</t>
  </si>
  <si>
    <t>Contig01,</t>
  </si>
  <si>
    <t>heyeri</t>
  </si>
  <si>
    <t>H2</t>
  </si>
  <si>
    <t>hirsuta</t>
  </si>
  <si>
    <t>CSC1</t>
  </si>
  <si>
    <t>Contig1,</t>
  </si>
  <si>
    <t>iwaonis</t>
  </si>
  <si>
    <t>SS37A-Re</t>
  </si>
  <si>
    <t>parvus</t>
  </si>
  <si>
    <t>OBBP</t>
  </si>
  <si>
    <t>rosea</t>
  </si>
  <si>
    <t>SV97</t>
  </si>
  <si>
    <t>genomic</t>
  </si>
  <si>
    <t>scaffold</t>
  </si>
  <si>
    <t>A3OODRAFT_scaffold1.1,</t>
  </si>
  <si>
    <t>silviterrae</t>
  </si>
  <si>
    <t>FS</t>
  </si>
  <si>
    <t>NODE_10_length_101763_cov_231.596621,</t>
  </si>
  <si>
    <t>suflitae</t>
  </si>
  <si>
    <t>NLS-7</t>
  </si>
  <si>
    <t>NLS7.00001,</t>
  </si>
  <si>
    <t>Methylosinus</t>
  </si>
  <si>
    <t>sporium</t>
  </si>
  <si>
    <t>NODE_101_length_9296_cov_13.636947,</t>
  </si>
  <si>
    <t>trichosporium</t>
  </si>
  <si>
    <t>OB3b</t>
  </si>
  <si>
    <t>MettrDRAFT_Contig104_C,</t>
  </si>
  <si>
    <t>RH</t>
  </si>
  <si>
    <t>AL1</t>
  </si>
  <si>
    <t>chromosome:</t>
  </si>
  <si>
    <t>AL8</t>
  </si>
  <si>
    <t>RH_AL8</t>
  </si>
  <si>
    <t>RHAL8_1,</t>
  </si>
  <si>
    <t>Rhabdaerophilum</t>
  </si>
  <si>
    <t>calidifontis</t>
  </si>
  <si>
    <t>G02060</t>
  </si>
  <si>
    <t>Scaffold10_1,</t>
  </si>
  <si>
    <t>Rhodoblastus</t>
  </si>
  <si>
    <t>acidophilus</t>
  </si>
  <si>
    <t>Candidatus</t>
  </si>
  <si>
    <t>alkanivorans</t>
  </si>
  <si>
    <t>PC2</t>
  </si>
  <si>
    <t>PC2E_NODE_1,</t>
  </si>
  <si>
    <t>sphagnicola</t>
  </si>
  <si>
    <t>Ga0394276_001,</t>
  </si>
  <si>
    <t>Roseiarcus</t>
  </si>
  <si>
    <t>fermentans</t>
  </si>
  <si>
    <t>Ga0244512_101,</t>
  </si>
  <si>
    <t>Salinarimonas</t>
  </si>
  <si>
    <t>ramus</t>
  </si>
  <si>
    <t>1.9161</t>
  </si>
  <si>
    <t>G407DRAFT_scaffold00001.1_C,</t>
  </si>
  <si>
    <t>BN140002</t>
  </si>
  <si>
    <t>MAG</t>
  </si>
  <si>
    <t>TPA_asm:</t>
  </si>
  <si>
    <t>uncultured</t>
  </si>
  <si>
    <t>public_SRR12240177_metawrap_bin.1_1,</t>
  </si>
  <si>
    <t>k141_2752302,</t>
  </si>
  <si>
    <t>GL61_DN_concoct_141_sub_0,</t>
  </si>
  <si>
    <t>private_X16_metawrap_bin.2_1,</t>
  </si>
  <si>
    <t>private_T1889_metawrap_bin.7_1,</t>
  </si>
  <si>
    <t>public_SRR11456913_metawrap_bin.13_1,</t>
  </si>
  <si>
    <t>private_GTX0163_metawrap_bin.14_1,</t>
  </si>
  <si>
    <t>public_SRR11456919_metawrap_bin.3_1,</t>
  </si>
  <si>
    <t>private_T1916_metawrap_bin.6_1,</t>
  </si>
  <si>
    <t>public_SRR14722163_metawrap_bin.2_1,</t>
  </si>
  <si>
    <t>public_SRR14722130_metawrap_bin.2_1,</t>
  </si>
  <si>
    <t>Hymenobacter</t>
  </si>
  <si>
    <t>Green_AP.bin.13</t>
  </si>
  <si>
    <t>NODE_568_length_19438_cov_5.555384,</t>
  </si>
  <si>
    <t>private_GTX0158_metawrap_bin.6_1,</t>
  </si>
  <si>
    <t>private_GTX0163_metawrap_bin.18_1,</t>
  </si>
  <si>
    <t>private_T1916_metawrap_bin.13_1,</t>
  </si>
  <si>
    <t>public_SRR12240183_metawrap_bin.1_1,</t>
  </si>
  <si>
    <t>public_SRR11456919_metawrap_bin.13_1,</t>
  </si>
  <si>
    <t>public_SRR14721964_metawrap_bin.1_1,</t>
  </si>
  <si>
    <t>private_T1888_metawrap_bin.15_1,</t>
  </si>
  <si>
    <t>public_SRR11456913_metawrap_bin.5_1,</t>
  </si>
  <si>
    <t>public_ERR4179390_metawrap_bin.5</t>
  </si>
  <si>
    <t>public_ERR4179390_metawrap_bin.5_1,</t>
  </si>
  <si>
    <t>private_T1887_metawrap_bin.11</t>
  </si>
  <si>
    <t>private_T1887_metawrap_bin.11_1,</t>
  </si>
  <si>
    <t>public_SRR11456921_metawrap_bin.21</t>
  </si>
  <si>
    <t>public_SRR11456921_metawrap_bin.21_1,</t>
  </si>
  <si>
    <t>public_SRR14722230_metawrap_bin.3</t>
  </si>
  <si>
    <t>public_SRR14722230_metawrap_bin.3_1,</t>
  </si>
  <si>
    <t>public_SRR11456913_metawrap_bin.7</t>
  </si>
  <si>
    <t>public_SRR11456913_metawrap_bin.7_1,</t>
  </si>
  <si>
    <t>private_T1887_metawrap_bin.13</t>
  </si>
  <si>
    <t>private_T1887_metawrap_bin.13_1,</t>
  </si>
  <si>
    <t>Methylobacterium</t>
  </si>
  <si>
    <t>public_SRR11456913_metawrap_bin.15</t>
  </si>
  <si>
    <t>public_SRR11456913_metawrap_bin.15_1,</t>
  </si>
  <si>
    <t>private_T1888_metawrap_bin.14</t>
  </si>
  <si>
    <t>private_T1888_metawrap_bin.14_1,</t>
  </si>
  <si>
    <t>public_SRR11456914_metawrap_bin.24</t>
  </si>
  <si>
    <t>public_SRR11456914_metawrap_bin.24_1,</t>
  </si>
  <si>
    <t>public_SRR14722230_metawrap_bin.1</t>
  </si>
  <si>
    <t>public_SRR14722230_metawrap_bin.1_1,</t>
  </si>
  <si>
    <t>public_SRR14722169_metawrap_bin.2</t>
  </si>
  <si>
    <t>public_SRR14722169_metawrap_bin.2_1,</t>
  </si>
  <si>
    <t>private_T1887_metawrap_bin.8</t>
  </si>
  <si>
    <t>private_T1887_metawrap_bin.8_1,</t>
  </si>
  <si>
    <t>Vulcanimicrobiota</t>
  </si>
  <si>
    <t>Green_R.bin.1</t>
  </si>
  <si>
    <t>NODE_45_length_32964_cov_5.701814,</t>
  </si>
  <si>
    <t>Green_AP.bin.3</t>
  </si>
  <si>
    <t>NODE_79_length_45791_cov_10.454194,</t>
  </si>
  <si>
    <t>Nakamurella</t>
  </si>
  <si>
    <t>Green_AP.bin.4</t>
  </si>
  <si>
    <t>NODE_55_length_53903_cov_14.011588,</t>
  </si>
  <si>
    <t>Verrucomicrobiota</t>
  </si>
  <si>
    <t>Green_K.bin.3</t>
  </si>
  <si>
    <t>NODE_532_length_12328_cov_3.716451,</t>
  </si>
  <si>
    <t>private_VT26_metawrap_bin.1</t>
  </si>
  <si>
    <t>private_VT26_metawrap_bin.1_1,</t>
  </si>
  <si>
    <t>private_VT2_metawrap_bin.4</t>
  </si>
  <si>
    <t>private_VT2_metawrap_bin.4_1,</t>
  </si>
  <si>
    <t>private_T1916_metawrap_bin.9</t>
  </si>
  <si>
    <t>private_T1916_metawrap_bin.9_1,</t>
  </si>
  <si>
    <t>private_T1916_metawrap_bin.12</t>
  </si>
  <si>
    <t>private_T1916_metawrap_bin.12_1,</t>
  </si>
  <si>
    <t>private_T1916_metawrap_bin.5</t>
  </si>
  <si>
    <t>private_T1916_metawrap_bin.5_1,</t>
  </si>
  <si>
    <t>public_SRR11456919_metawrap_bin.7</t>
  </si>
  <si>
    <t>public_SRR11456919_metawrap_bin.7_1,</t>
  </si>
  <si>
    <t>private_TS1974_metawrap_bin.3</t>
  </si>
  <si>
    <t>private_TS1974_metawrap_bin.3_1,</t>
  </si>
  <si>
    <t>public_SRR13685165_metawrap_bin.1</t>
  </si>
  <si>
    <t>public_SRR13685165_metawrap_bin.1_1,</t>
  </si>
  <si>
    <t>public_SRR14722129_metawrap_bin.1</t>
  </si>
  <si>
    <t>public_SRR14722129_metawrap_bin.1_1,</t>
  </si>
  <si>
    <t>public_SRR14722022_metawrap_bin.1</t>
  </si>
  <si>
    <t>public_SRR14722022_metawrap_bin.1_1,</t>
  </si>
  <si>
    <t>private_T1894_metawrap_bin.9</t>
  </si>
  <si>
    <t>private_T1894_metawrap_bin.9_1,</t>
  </si>
  <si>
    <t>public_SRR14722170_metawrap_bin.3</t>
  </si>
  <si>
    <t>public_SRR14722170_metawrap_bin.3_1,</t>
  </si>
  <si>
    <t>public_SRR14722301_metawrap_bin.5</t>
  </si>
  <si>
    <t>public_SRR14722301_metawrap_bin.5_1,</t>
  </si>
  <si>
    <t>public_SRR11456922_metawrap_bin.5</t>
  </si>
  <si>
    <t>public_SRR11456922_metawrap_bin.5_1,</t>
  </si>
  <si>
    <t>BMES01000001.1</t>
  </si>
  <si>
    <t>JANCLU010000010.1</t>
  </si>
  <si>
    <t>PVZS01000001.1</t>
  </si>
  <si>
    <t>NC_010581.1</t>
  </si>
  <si>
    <t>NZ_JQJH01000001.1</t>
  </si>
  <si>
    <t>NZ_ATYA01000001.1</t>
  </si>
  <si>
    <t>NZ_JQKO01000001.1</t>
  </si>
  <si>
    <t>NZ_FOSN01000077.1</t>
  </si>
  <si>
    <t>NZ_CP136862.1</t>
  </si>
  <si>
    <t>NC_011666.1</t>
  </si>
  <si>
    <t>NZ_CP139089.1</t>
  </si>
  <si>
    <t>NZ_ARWA01000001.1</t>
  </si>
  <si>
    <t>NZ_CP025086.1</t>
  </si>
  <si>
    <t>CP132359.1</t>
  </si>
  <si>
    <t>QQTO01000034.1</t>
  </si>
  <si>
    <t>JBHSLW010000001.1</t>
  </si>
  <si>
    <t>FNUY01000024.1</t>
  </si>
  <si>
    <t>FOAN01000024.1</t>
  </si>
  <si>
    <t>JBHSLU010000001.1</t>
  </si>
  <si>
    <t>JAOAOS010000010.1</t>
  </si>
  <si>
    <t>PQFZ01000001.1</t>
  </si>
  <si>
    <t>FNBZ01000020.1</t>
  </si>
  <si>
    <t>JAWDID010000001.1</t>
  </si>
  <si>
    <t>JACXWY010000010.1</t>
  </si>
  <si>
    <t>FUYX01000034.1</t>
  </si>
  <si>
    <t>CP017147.1</t>
  </si>
  <si>
    <t>CP126307.1</t>
  </si>
  <si>
    <t>JBHLWR010000001.1</t>
  </si>
  <si>
    <t>BNCG01000001.1</t>
  </si>
  <si>
    <t>JBHUNN010000001.1</t>
  </si>
  <si>
    <t>JASJEV010000010.1</t>
  </si>
  <si>
    <t>JAHBRY010000001.1</t>
  </si>
  <si>
    <t>JACIEN010000001.1</t>
  </si>
  <si>
    <t>JAHBRZ010000001.1</t>
  </si>
  <si>
    <t>BMGG01000001.1</t>
  </si>
  <si>
    <t>LIOL01000001.1</t>
  </si>
  <si>
    <t>JACICC010000001.1</t>
  </si>
  <si>
    <t>JBHLXC010000001.1</t>
  </si>
  <si>
    <t>JAJXWB010000001.1</t>
  </si>
  <si>
    <t>JAJLMN010000001.1</t>
  </si>
  <si>
    <t>QYBB01000100.1</t>
  </si>
  <si>
    <t>QYBC01000036.1</t>
  </si>
  <si>
    <t>JAMOIM010000100.1</t>
  </si>
  <si>
    <t>JARPVX010000100.1</t>
  </si>
  <si>
    <t>CP036515.1</t>
  </si>
  <si>
    <t>SJAT01000001.1</t>
  </si>
  <si>
    <t>CP085136.1</t>
  </si>
  <si>
    <t>JABEPP010000001.1</t>
  </si>
  <si>
    <t>NZ_SNZR01000011.1</t>
  </si>
  <si>
    <t>JBBYXI010000010.1</t>
  </si>
  <si>
    <t>JACIDN010000001.1</t>
  </si>
  <si>
    <t>M-cerastii_contig_1_1</t>
  </si>
  <si>
    <t>NZ_QOWC01000001.1</t>
  </si>
  <si>
    <t>NZ_CP029550.1</t>
  </si>
  <si>
    <t>NZ_CP003811.1</t>
  </si>
  <si>
    <t>M-iners_contig_1_1</t>
  </si>
  <si>
    <t>M-isbiliense-contig_1_1</t>
  </si>
  <si>
    <t>M-jeotgali_contig_1_1</t>
  </si>
  <si>
    <t>sca00001</t>
  </si>
  <si>
    <t>NC_011894.1</t>
  </si>
  <si>
    <t>NODE_1_length_581052_cov_47.357165</t>
  </si>
  <si>
    <t>NZ_SACP01000100.1</t>
  </si>
  <si>
    <t>NZ_CP029551.1</t>
  </si>
  <si>
    <t>JAAHTB010000001.1</t>
  </si>
  <si>
    <t>NZ_LMNL01000001.1</t>
  </si>
  <si>
    <t>NZ_LMMU01000001.1</t>
  </si>
  <si>
    <t>NZ_KB910516.1</t>
  </si>
  <si>
    <t>NZ_LMQK01000001.1</t>
  </si>
  <si>
    <t>NZ_CP029552.1</t>
  </si>
  <si>
    <t>NC_010511.1</t>
  </si>
  <si>
    <t>contig00001</t>
  </si>
  <si>
    <t>NZ_CP039546.1</t>
  </si>
  <si>
    <t>M-trifolii_contig_1_1</t>
  </si>
  <si>
    <t>NZ_CP016616.1</t>
  </si>
  <si>
    <t>NZ_CP029481.1</t>
  </si>
  <si>
    <t>JAZHYN010000100.1</t>
  </si>
  <si>
    <t>AP027149.1</t>
  </si>
  <si>
    <t>BSEC01000001.1</t>
  </si>
  <si>
    <t>CP046052.1</t>
  </si>
  <si>
    <t>QWDD01000001.1</t>
  </si>
  <si>
    <t>AP027142.1</t>
  </si>
  <si>
    <t>CP092968.1</t>
  </si>
  <si>
    <t>KB889963.1</t>
  </si>
  <si>
    <t>JABVWW010000010.1</t>
  </si>
  <si>
    <t>JAMRYX010000001.1</t>
  </si>
  <si>
    <t>PUIV01000050.1</t>
  </si>
  <si>
    <t>ADVE02000003.1</t>
  </si>
  <si>
    <t>LR590083.2</t>
  </si>
  <si>
    <t>CABDXJ020000001.1</t>
  </si>
  <si>
    <t>VTRS01000010.1</t>
  </si>
  <si>
    <t>NZ_FYDG01000074.1</t>
  </si>
  <si>
    <t>JAIVFP010000001.1</t>
  </si>
  <si>
    <t>NZ_JACIGC010000001.1</t>
  </si>
  <si>
    <t>QNRK01000001.1</t>
  </si>
  <si>
    <t>NZ_BMMF01000001.1</t>
  </si>
  <si>
    <t>NZ_AUBC01000001.1</t>
  </si>
  <si>
    <t>NZ_VUOA01000001.1</t>
  </si>
  <si>
    <t>NODE_299_length_86351_cov_31.627677</t>
  </si>
  <si>
    <t>NODE_2259_length_25614_cov_11.296569</t>
  </si>
  <si>
    <t>CAXTLW010000001.1</t>
  </si>
  <si>
    <t>DATBEH010000001.1</t>
  </si>
  <si>
    <t>JAYVMK010000001.1</t>
  </si>
  <si>
    <t>CAXSEU010000001.1</t>
  </si>
  <si>
    <t>CAXTDM010000001.1</t>
  </si>
  <si>
    <t>CAXTBR010000001.1</t>
  </si>
  <si>
    <t>CAXTFP010000001.1</t>
  </si>
  <si>
    <t>CAXTIC010000001.1</t>
  </si>
  <si>
    <t>CAXTME010000001.1</t>
  </si>
  <si>
    <t>CAXUCF010000001.1</t>
  </si>
  <si>
    <t>CAXUOD010000001.1</t>
  </si>
  <si>
    <t>NODE_279_length_90325_cov_39.729733</t>
  </si>
  <si>
    <t>NODE_347_length_81042_cov_31.146678</t>
  </si>
  <si>
    <t>NODE_3033_length_28252_cov_24.557081</t>
  </si>
  <si>
    <t>CAZZVU010000001.1</t>
  </si>
  <si>
    <t>CAXTDZ010000001.1</t>
  </si>
  <si>
    <t>CAXTEP010000001.1</t>
  </si>
  <si>
    <t>CAXTFJ010000001.1</t>
  </si>
  <si>
    <t>CAXTLM010000001.1</t>
  </si>
  <si>
    <t>CAXTOT010000001.1</t>
  </si>
  <si>
    <t>CAXTTG010000001.1</t>
  </si>
  <si>
    <t>CAXTVD010000001.1</t>
  </si>
  <si>
    <t>CAXUMV010000001.1</t>
  </si>
  <si>
    <t>NODE_395_length_76830_cov_18.120274</t>
  </si>
  <si>
    <t>NODE_2351_length_32457_cov_13.536263</t>
  </si>
  <si>
    <t>NODE_102_length_81801_cov_19.235021</t>
  </si>
  <si>
    <t>NODE_3331_length_22921_cov_10.698767</t>
  </si>
  <si>
    <t>NODE_449_length_55959_cov_17.350529</t>
  </si>
  <si>
    <t>NODE_289_length_70792_cov_18.115272</t>
  </si>
  <si>
    <t>NODE_319_length_84539_cov_23.909012</t>
  </si>
  <si>
    <t>CAXTCE010000001.1</t>
  </si>
  <si>
    <t>CAXTAZ010000001.1</t>
  </si>
  <si>
    <t>CAXTKM010000001.1</t>
  </si>
  <si>
    <t>CAXTOK010000001.1</t>
  </si>
  <si>
    <t>CAXUHE010000001.1</t>
  </si>
  <si>
    <t>CAXUKK010000001.1</t>
  </si>
  <si>
    <t>CAXTBY010000001.1</t>
  </si>
  <si>
    <t>CAXTCV010000001.1</t>
  </si>
  <si>
    <t>CAXTHR010000001.1</t>
  </si>
  <si>
    <t>CAXTOV010000001.1</t>
  </si>
  <si>
    <t>CAXUCX010000001.1</t>
  </si>
  <si>
    <t>CAXUJR010000001.1</t>
  </si>
  <si>
    <t>CAZZWW010000001.1</t>
  </si>
  <si>
    <t>CAZZZJ010000001.1</t>
  </si>
  <si>
    <t>CAZZZM010000001.1</t>
  </si>
  <si>
    <t>NODE_818_length_55719_cov_56.119521</t>
  </si>
  <si>
    <t>NODE_197_length_84414_cov_67.229448</t>
  </si>
  <si>
    <t>NODE_278_length_71586_cov_26.669626</t>
  </si>
  <si>
    <t>NODE_1711_length_38250_cov_22.054431</t>
  </si>
  <si>
    <t>NODE_205_length_82253_cov_42.586632</t>
  </si>
  <si>
    <t>CAZZVL010000001.1</t>
  </si>
  <si>
    <t>NODE_91_length_88820_cov_110.826407</t>
  </si>
  <si>
    <t>NODE_1015_length_50323_cov_189.195472</t>
  </si>
  <si>
    <t>NODE_705_length_54380_cov_116.683976</t>
  </si>
  <si>
    <t>NODE_238_length_88059_cov_202.903175</t>
  </si>
  <si>
    <t>NODE_630_length_48609_cov_103.915929</t>
  </si>
  <si>
    <t>CAXSDP010000001.1</t>
  </si>
  <si>
    <t>CAXSEQ010000001.1</t>
  </si>
  <si>
    <t>CAXTFG010000001.1</t>
  </si>
  <si>
    <t>CAXTFO010000001.1</t>
  </si>
  <si>
    <t>CAXTFM010000001.1</t>
  </si>
  <si>
    <t>CAXTJH010000001.1</t>
  </si>
  <si>
    <t>CAXTIU010000001.1</t>
  </si>
  <si>
    <t>CAXTMA010000001.1</t>
  </si>
  <si>
    <t>CAXTQM010000001.1</t>
  </si>
  <si>
    <t>CAXTSQ010000001.1</t>
  </si>
  <si>
    <t>CAXTVT010000001.1</t>
  </si>
  <si>
    <t>CAXUCR010000001.1</t>
  </si>
  <si>
    <t>CAXUFO010000001.1</t>
  </si>
  <si>
    <t>CAXTUM010000001.1</t>
  </si>
  <si>
    <t>Accession</t>
  </si>
  <si>
    <t>GL61</t>
  </si>
  <si>
    <t>BL2</t>
  </si>
  <si>
    <t>NE2</t>
  </si>
  <si>
    <t>BTF04</t>
  </si>
  <si>
    <t>DSM 24105</t>
  </si>
  <si>
    <t>4-46</t>
  </si>
  <si>
    <t>ORS 2060</t>
  </si>
  <si>
    <t>CBMB20</t>
  </si>
  <si>
    <t>V5/3m</t>
  </si>
  <si>
    <t>17 mud 1-3</t>
  </si>
  <si>
    <t>17SD2-17</t>
  </si>
  <si>
    <t>17Sr1-43</t>
  </si>
  <si>
    <t>17Sr1-1</t>
  </si>
  <si>
    <t>YC-XJ1</t>
  </si>
  <si>
    <t>Leaf99</t>
  </si>
  <si>
    <t>Leaf117</t>
  </si>
  <si>
    <t>Leaf399</t>
  </si>
  <si>
    <t>MIMD6</t>
  </si>
  <si>
    <t>TER-1</t>
  </si>
  <si>
    <t>DSM 25903</t>
  </si>
  <si>
    <t>st130</t>
  </si>
  <si>
    <t>st135</t>
  </si>
  <si>
    <t>st136</t>
  </si>
  <si>
    <t>st137</t>
  </si>
  <si>
    <t>st147</t>
  </si>
  <si>
    <t>st155</t>
  </si>
  <si>
    <t>st138</t>
  </si>
  <si>
    <t>st142</t>
  </si>
  <si>
    <t xml:space="preserve">CGMCC 1.12214  </t>
  </si>
  <si>
    <t xml:space="preserve">SYSU M60028  </t>
  </si>
  <si>
    <t xml:space="preserve">SH9   </t>
  </si>
  <si>
    <t xml:space="preserve">ATCC 9039  </t>
  </si>
  <si>
    <t xml:space="preserve">UQM 1969  </t>
  </si>
  <si>
    <t xml:space="preserve">RH AL8  </t>
  </si>
  <si>
    <t xml:space="preserve">RH AL1  </t>
  </si>
  <si>
    <t xml:space="preserve">Vaf18   </t>
  </si>
  <si>
    <t xml:space="preserve">A18/4-2   </t>
  </si>
  <si>
    <t xml:space="preserve">REN20   </t>
  </si>
  <si>
    <t xml:space="preserve">DSM 26672  </t>
  </si>
  <si>
    <t xml:space="preserve">DSM 26656  </t>
  </si>
  <si>
    <t xml:space="preserve">DSM 9653  </t>
  </si>
  <si>
    <t xml:space="preserve">SSUT16   </t>
  </si>
  <si>
    <t xml:space="preserve">LMG 26207  </t>
  </si>
  <si>
    <t xml:space="preserve">ZW T0_25  </t>
  </si>
  <si>
    <t xml:space="preserve">CGMCC 1.16390  </t>
  </si>
  <si>
    <t xml:space="preserve">NCAIM B.01391  </t>
  </si>
  <si>
    <t xml:space="preserve">1131   </t>
  </si>
  <si>
    <t xml:space="preserve">RCAM 4680  </t>
  </si>
  <si>
    <t xml:space="preserve">KCTC 42282  </t>
  </si>
  <si>
    <t xml:space="preserve">CCM 7941  </t>
  </si>
  <si>
    <t xml:space="preserve">CCM 7696  </t>
  </si>
  <si>
    <t xml:space="preserve">PC2   </t>
  </si>
  <si>
    <t xml:space="preserve">CGMCC 1.12919  </t>
  </si>
  <si>
    <t xml:space="preserve">DSM 103737  </t>
  </si>
  <si>
    <t xml:space="preserve">DSM 6462  </t>
  </si>
  <si>
    <t xml:space="preserve">DSM 101465  </t>
  </si>
  <si>
    <t xml:space="preserve">SYSU G07232  </t>
  </si>
  <si>
    <t xml:space="preserve">DSM 18167  </t>
  </si>
  <si>
    <t xml:space="preserve">DB1703   </t>
  </si>
  <si>
    <t xml:space="preserve">WL0021   </t>
  </si>
  <si>
    <t xml:space="preserve">6Y81   </t>
  </si>
  <si>
    <t xml:space="preserve">RmlP026   </t>
  </si>
  <si>
    <t xml:space="preserve">RmlP001   </t>
  </si>
  <si>
    <t xml:space="preserve">BP6-180914   </t>
  </si>
  <si>
    <t xml:space="preserve">PAMC 29148  </t>
  </si>
  <si>
    <t xml:space="preserve">PAMC28606   </t>
  </si>
  <si>
    <t xml:space="preserve">Uapishka_5   </t>
  </si>
  <si>
    <t xml:space="preserve">PAMC 29128  </t>
  </si>
  <si>
    <t xml:space="preserve">B2 </t>
  </si>
  <si>
    <t xml:space="preserve">RX1 </t>
  </si>
  <si>
    <t xml:space="preserve">NE2 </t>
  </si>
  <si>
    <t xml:space="preserve">KYG </t>
  </si>
  <si>
    <t xml:space="preserve">BL2 </t>
  </si>
  <si>
    <t xml:space="preserve">T4 </t>
  </si>
  <si>
    <t xml:space="preserve">SS37A-Re </t>
  </si>
  <si>
    <t xml:space="preserve">DSM21852 </t>
  </si>
  <si>
    <t xml:space="preserve">LMG27198 </t>
  </si>
  <si>
    <t xml:space="preserve">H2 </t>
  </si>
  <si>
    <t xml:space="preserve">OBBP </t>
  </si>
  <si>
    <t xml:space="preserve">FS </t>
  </si>
  <si>
    <t xml:space="preserve">NLS-7 </t>
  </si>
  <si>
    <t xml:space="preserve">9N </t>
  </si>
  <si>
    <t xml:space="preserve">SV97 </t>
  </si>
  <si>
    <t xml:space="preserve">CSC1 </t>
  </si>
  <si>
    <t xml:space="preserve">AR4 </t>
  </si>
  <si>
    <t xml:space="preserve">OB3b </t>
  </si>
  <si>
    <t>DSM 17706</t>
  </si>
  <si>
    <t xml:space="preserve">BW863 </t>
  </si>
  <si>
    <t>DSM 28760</t>
  </si>
  <si>
    <t>CCM 8528</t>
  </si>
  <si>
    <t>SYSU G02060</t>
  </si>
  <si>
    <t>DSM 137</t>
  </si>
  <si>
    <t>DSM 16996</t>
  </si>
  <si>
    <t>DSM 24875</t>
  </si>
  <si>
    <t>DSM 21201</t>
  </si>
  <si>
    <t>CGMCC 1.9161</t>
  </si>
  <si>
    <t xml:space="preserve">BN140002 </t>
  </si>
  <si>
    <t>LMG 26383, CCUG 61248, R-45681</t>
  </si>
  <si>
    <t>B4</t>
  </si>
  <si>
    <t>C1</t>
  </si>
  <si>
    <t>DSM23679T</t>
  </si>
  <si>
    <t>DSM19015T</t>
  </si>
  <si>
    <t>DSM17168T</t>
  </si>
  <si>
    <t>LMG23639T</t>
  </si>
  <si>
    <t>NBRC15689T</t>
  </si>
  <si>
    <t>DSM23632</t>
  </si>
  <si>
    <t>DSM14458T</t>
  </si>
  <si>
    <t>GCF_022179305.1</t>
  </si>
  <si>
    <t>ASM2217930</t>
  </si>
  <si>
    <t>ASM2217912</t>
  </si>
  <si>
    <t>ASM2217932</t>
  </si>
  <si>
    <t>GCF_022179325.1</t>
  </si>
  <si>
    <t>ASM2217934</t>
  </si>
  <si>
    <t>ASM4266166</t>
  </si>
  <si>
    <t>ASM2253346</t>
  </si>
  <si>
    <t>ASM2217968</t>
  </si>
  <si>
    <t>ASM2217976</t>
  </si>
  <si>
    <t>NBRC103627T, DSM19563T</t>
  </si>
  <si>
    <t>GCF_022179125.1</t>
  </si>
  <si>
    <t>GCF_022179345.1</t>
  </si>
  <si>
    <t>GCF_042661665.1</t>
  </si>
  <si>
    <t>GCF_022533465.1</t>
  </si>
  <si>
    <t>GCF_022179685.1</t>
  </si>
  <si>
    <t>GCF_022179765.1</t>
  </si>
  <si>
    <t>GCA</t>
  </si>
  <si>
    <t>003315135.1</t>
  </si>
  <si>
    <t>ASM331513v1</t>
  </si>
  <si>
    <t>genomic.fna</t>
  </si>
  <si>
    <t>036276175.1</t>
  </si>
  <si>
    <t>ASM3627617v1</t>
  </si>
  <si>
    <t>018398275.1</t>
  </si>
  <si>
    <t>ASM1839827v1</t>
  </si>
  <si>
    <t>018398355.1</t>
  </si>
  <si>
    <t>ASM1839835v1</t>
  </si>
  <si>
    <t>022760755.1</t>
  </si>
  <si>
    <t>ASM2276075v1</t>
  </si>
  <si>
    <t>024294805.1</t>
  </si>
  <si>
    <t>ASM2429480v1</t>
  </si>
  <si>
    <t>024448135.1</t>
  </si>
  <si>
    <t>ASM2444813v1</t>
  </si>
  <si>
    <t>025209975.1</t>
  </si>
  <si>
    <t>ASM2520997v1</t>
  </si>
  <si>
    <t>027571405.1</t>
  </si>
  <si>
    <t>ASM2757140v1</t>
  </si>
  <si>
    <t>027925385.1</t>
  </si>
  <si>
    <t>ASM2792538v1</t>
  </si>
  <si>
    <t>027925445.1</t>
  </si>
  <si>
    <t>ASM2792544v1</t>
  </si>
  <si>
    <t>030067675.1</t>
  </si>
  <si>
    <t>ASM3006767v1</t>
  </si>
  <si>
    <t>043758995.1</t>
  </si>
  <si>
    <t>ASM4375899v1</t>
  </si>
  <si>
    <t>030144325.1</t>
  </si>
  <si>
    <t>ASM3014432v1</t>
  </si>
  <si>
    <t>030758975.1</t>
  </si>
  <si>
    <t>ASM3075897v1</t>
  </si>
  <si>
    <t>032464875.1</t>
  </si>
  <si>
    <t>ASM3246487v1</t>
  </si>
  <si>
    <t>036576025.1</t>
  </si>
  <si>
    <t>ASM3657602v1</t>
  </si>
  <si>
    <t>039655745.1</t>
  </si>
  <si>
    <t>ASM3965574v1</t>
  </si>
  <si>
    <t>042432495.1</t>
  </si>
  <si>
    <t>ASM4243249v1</t>
  </si>
  <si>
    <t>042432745.1</t>
  </si>
  <si>
    <t>ASM4243274v1</t>
  </si>
  <si>
    <t>042655245.1</t>
  </si>
  <si>
    <t>ASM4265524v1</t>
  </si>
  <si>
    <t>042657265.1</t>
  </si>
  <si>
    <t>ASM4265726v1</t>
  </si>
  <si>
    <t>042685445.1</t>
  </si>
  <si>
    <t>ASM4268544v1</t>
  </si>
  <si>
    <t>964236485.1</t>
  </si>
  <si>
    <t>private</t>
  </si>
  <si>
    <t>X16</t>
  </si>
  <si>
    <t>metawrap</t>
  </si>
  <si>
    <t>bin.2</t>
  </si>
  <si>
    <t>900102525.1</t>
  </si>
  <si>
    <t>IMG-taxon</t>
  </si>
  <si>
    <t>annotated</t>
  </si>
  <si>
    <t>assembly</t>
  </si>
  <si>
    <t>900108245.1</t>
  </si>
  <si>
    <t>900109525.1</t>
  </si>
  <si>
    <t>900168195.1</t>
  </si>
  <si>
    <t>GCF</t>
  </si>
  <si>
    <t>000019845.1</t>
  </si>
  <si>
    <t>ASM1984v1</t>
  </si>
  <si>
    <t>000385335.1</t>
  </si>
  <si>
    <t>ASM38533v1</t>
  </si>
  <si>
    <t>000427445.1</t>
  </si>
  <si>
    <t>ASM42744v1</t>
  </si>
  <si>
    <t>000745425.1</t>
  </si>
  <si>
    <t>ASM74542v1</t>
  </si>
  <si>
    <t>000746085.1</t>
  </si>
  <si>
    <t>ASM74608v1</t>
  </si>
  <si>
    <t>004135935.1</t>
  </si>
  <si>
    <t>ASM413593v1</t>
  </si>
  <si>
    <t>964242265.1</t>
  </si>
  <si>
    <t>T1889</t>
  </si>
  <si>
    <t>bin.7</t>
  </si>
  <si>
    <t>038024855.1</t>
  </si>
  <si>
    <t>MTun</t>
  </si>
  <si>
    <t>045689225.1</t>
  </si>
  <si>
    <t>ASM4568922v1</t>
  </si>
  <si>
    <t>C4</t>
  </si>
  <si>
    <t>Meth</t>
  </si>
  <si>
    <t>sp</t>
  </si>
  <si>
    <t>st16.fas</t>
  </si>
  <si>
    <t>C3</t>
  </si>
  <si>
    <t>nodulans</t>
  </si>
  <si>
    <t>st167.fas</t>
  </si>
  <si>
    <t>A1</t>
  </si>
  <si>
    <t>fujisawaense</t>
  </si>
  <si>
    <t>st36.fas</t>
  </si>
  <si>
    <t>D3</t>
  </si>
  <si>
    <t>st120.fas</t>
  </si>
  <si>
    <t>D2</t>
  </si>
  <si>
    <t>st103.fas</t>
  </si>
  <si>
    <t>D5</t>
  </si>
  <si>
    <t>st107.fas</t>
  </si>
  <si>
    <t>A3</t>
  </si>
  <si>
    <t>durans</t>
  </si>
  <si>
    <t>st7.fas</t>
  </si>
  <si>
    <t>964242785.1</t>
  </si>
  <si>
    <t>public</t>
  </si>
  <si>
    <t>SRR11456913</t>
  </si>
  <si>
    <t>bin.13</t>
  </si>
  <si>
    <t>A4</t>
  </si>
  <si>
    <t>radiodurans</t>
  </si>
  <si>
    <t>st11.fas</t>
  </si>
  <si>
    <t>st8.fas</t>
  </si>
  <si>
    <t>C6</t>
  </si>
  <si>
    <t>oryzihabitans</t>
  </si>
  <si>
    <t>st185.fas</t>
  </si>
  <si>
    <t>D4</t>
  </si>
  <si>
    <t>st33.fas</t>
  </si>
  <si>
    <t>M</t>
  </si>
  <si>
    <t>Micr</t>
  </si>
  <si>
    <t>ossetica</t>
  </si>
  <si>
    <t>st192.fas</t>
  </si>
  <si>
    <t>C2</t>
  </si>
  <si>
    <t>crusticola</t>
  </si>
  <si>
    <t>st151.fas</t>
  </si>
  <si>
    <t>B1</t>
  </si>
  <si>
    <t>thiocyanatum</t>
  </si>
  <si>
    <t>st207.fas</t>
  </si>
  <si>
    <t>E</t>
  </si>
  <si>
    <t>Ente</t>
  </si>
  <si>
    <t>rhinocerotis</t>
  </si>
  <si>
    <t>st56.fas</t>
  </si>
  <si>
    <t>D1</t>
  </si>
  <si>
    <t>st18.fas</t>
  </si>
  <si>
    <t>st6.fas</t>
  </si>
  <si>
    <t>964243035.1</t>
  </si>
  <si>
    <t>GTX0158</t>
  </si>
  <si>
    <t>bin.6</t>
  </si>
  <si>
    <t>B3</t>
  </si>
  <si>
    <t>brachythecii</t>
  </si>
  <si>
    <t>st55.fas</t>
  </si>
  <si>
    <t>st47.fas</t>
  </si>
  <si>
    <t>A5</t>
  </si>
  <si>
    <t>cerastii</t>
  </si>
  <si>
    <t>st130.fas</t>
  </si>
  <si>
    <t>D6</t>
  </si>
  <si>
    <t>iners</t>
  </si>
  <si>
    <t>st135.fas</t>
  </si>
  <si>
    <t>C5</t>
  </si>
  <si>
    <t>isbiliense</t>
  </si>
  <si>
    <t>st136.fas</t>
  </si>
  <si>
    <t>A7</t>
  </si>
  <si>
    <t>jeotgali</t>
  </si>
  <si>
    <t>st137.fas</t>
  </si>
  <si>
    <t>A2</t>
  </si>
  <si>
    <t>komagatae</t>
  </si>
  <si>
    <t>st138.fas</t>
  </si>
  <si>
    <t>organophilum</t>
  </si>
  <si>
    <t>st142.fas</t>
  </si>
  <si>
    <t>A6</t>
  </si>
  <si>
    <t>trifolii</t>
  </si>
  <si>
    <t>st147.fas</t>
  </si>
  <si>
    <t>suomiense</t>
  </si>
  <si>
    <t>st155.fas</t>
  </si>
  <si>
    <t>964243125.1</t>
  </si>
  <si>
    <t>GTX0163</t>
  </si>
  <si>
    <t>bin.18</t>
  </si>
  <si>
    <t>900114285.1</t>
  </si>
  <si>
    <t>000021745.1</t>
  </si>
  <si>
    <t>ASM2174v1</t>
  </si>
  <si>
    <t>900187365.1</t>
  </si>
  <si>
    <t>014197735.1</t>
  </si>
  <si>
    <t>ASM1419773v1</t>
  </si>
  <si>
    <t>014645695.1</t>
  </si>
  <si>
    <t>ASM1464569v1</t>
  </si>
  <si>
    <t>000429045.1</t>
  </si>
  <si>
    <t>ASM42904v1</t>
  </si>
  <si>
    <t>008386575.1</t>
  </si>
  <si>
    <t>ASM838657v1</t>
  </si>
  <si>
    <t>027923385.1</t>
  </si>
  <si>
    <t>ASM2792338v1</t>
  </si>
  <si>
    <t>assembly.fasta</t>
  </si>
  <si>
    <t>964243135.1</t>
  </si>
  <si>
    <t>bin.14</t>
  </si>
  <si>
    <t>008641065.1</t>
  </si>
  <si>
    <t>ASM864106v1</t>
  </si>
  <si>
    <t>964243405.1</t>
  </si>
  <si>
    <t>T1916</t>
  </si>
  <si>
    <t>964244255.1</t>
  </si>
  <si>
    <t>SRR11456919</t>
  </si>
  <si>
    <t>bin.3</t>
  </si>
  <si>
    <t>004137085.1</t>
  </si>
  <si>
    <t>ASM413708v1</t>
  </si>
  <si>
    <t>964245085.1</t>
  </si>
  <si>
    <t>SRR12240183</t>
  </si>
  <si>
    <t>bin.1</t>
  </si>
  <si>
    <t>964245215.1</t>
  </si>
  <si>
    <t>964245915.1</t>
  </si>
  <si>
    <t>964246815.1</t>
  </si>
  <si>
    <t>SRR14721964</t>
  </si>
  <si>
    <t>964247575.1</t>
  </si>
  <si>
    <t>T1888</t>
  </si>
  <si>
    <t>bin.15</t>
  </si>
  <si>
    <t>964249275.1</t>
  </si>
  <si>
    <t>SRR14722163</t>
  </si>
  <si>
    <t>964252065.1</t>
  </si>
  <si>
    <t>bin.5</t>
  </si>
  <si>
    <t>964252585.1</t>
  </si>
  <si>
    <t>SRR14722130</t>
  </si>
  <si>
    <t>abba</t>
  </si>
  <si>
    <t>bin.3.orig.fa</t>
  </si>
  <si>
    <t>bin.18.orig.fa</t>
  </si>
  <si>
    <t>004137685.1</t>
  </si>
  <si>
    <t>ASM413768v1</t>
  </si>
  <si>
    <t>bin.24.orig.fa</t>
  </si>
  <si>
    <t>bin.37.orig.fa</t>
  </si>
  <si>
    <t>bin.40.orig.fa</t>
  </si>
  <si>
    <t>bin.42.orig.fa</t>
  </si>
  <si>
    <t>coco</t>
  </si>
  <si>
    <t>bin.22.orig.fa</t>
  </si>
  <si>
    <t>bin.33.orig.fa</t>
  </si>
  <si>
    <t>thoc</t>
  </si>
  <si>
    <t>bin.47.orig.fa</t>
  </si>
  <si>
    <t>bin.1.orig.fa</t>
  </si>
  <si>
    <t>004323635.1</t>
  </si>
  <si>
    <t>ASM432363v1</t>
  </si>
  <si>
    <t>bin.11.orig.fa</t>
  </si>
  <si>
    <t>bin.44.orig.fa</t>
  </si>
  <si>
    <t>bin.66.orig.fa</t>
  </si>
  <si>
    <t>acsa</t>
  </si>
  <si>
    <t>bin.4.orig.fa</t>
  </si>
  <si>
    <t>bin.7.orig.fa</t>
  </si>
  <si>
    <t>fagr</t>
  </si>
  <si>
    <t>bin.20.orig.fa</t>
  </si>
  <si>
    <t>bin.53.orig.fa</t>
  </si>
  <si>
    <t>bin.9.orig.fa</t>
  </si>
  <si>
    <t>004327155.1</t>
  </si>
  <si>
    <t>ASM432715v1</t>
  </si>
  <si>
    <t>964657515.1</t>
  </si>
  <si>
    <t>Boreal</t>
  </si>
  <si>
    <t>Metagenome</t>
  </si>
  <si>
    <t>Coassembled</t>
  </si>
  <si>
    <t>Green</t>
  </si>
  <si>
    <t>AP</t>
  </si>
  <si>
    <t>964241925.1</t>
  </si>
  <si>
    <t>ERR4179390</t>
  </si>
  <si>
    <t>964242715.1</t>
  </si>
  <si>
    <t>T1887</t>
  </si>
  <si>
    <t>bin.11</t>
  </si>
  <si>
    <t>964244795.1</t>
  </si>
  <si>
    <t>SRR11456921</t>
  </si>
  <si>
    <t>bin.21</t>
  </si>
  <si>
    <t>964245795.1</t>
  </si>
  <si>
    <t>SRR14722230</t>
  </si>
  <si>
    <t>964250725.1</t>
  </si>
  <si>
    <t>964251455.1</t>
  </si>
  <si>
    <t>964242245.1</t>
  </si>
  <si>
    <t>964242725.1</t>
  </si>
  <si>
    <t>964244095.1</t>
  </si>
  <si>
    <t>SRR11456914</t>
  </si>
  <si>
    <t>bin.24</t>
  </si>
  <si>
    <t>021730615.1</t>
  </si>
  <si>
    <t>ASM2173061v1</t>
  </si>
  <si>
    <t>964245765.1</t>
  </si>
  <si>
    <t>964249385.1</t>
  </si>
  <si>
    <t>SRR14722169</t>
  </si>
  <si>
    <t>964251405.1</t>
  </si>
  <si>
    <t>bin.8</t>
  </si>
  <si>
    <t>964657435.1</t>
  </si>
  <si>
    <t>K</t>
  </si>
  <si>
    <t>964235705.1</t>
  </si>
  <si>
    <t>VT26</t>
  </si>
  <si>
    <t>964235845.1</t>
  </si>
  <si>
    <t>VT2</t>
  </si>
  <si>
    <t>bin.4</t>
  </si>
  <si>
    <t>964243415.1</t>
  </si>
  <si>
    <t>bin.9</t>
  </si>
  <si>
    <t>964243425.1</t>
  </si>
  <si>
    <t>bin.12</t>
  </si>
  <si>
    <t>964243435.1</t>
  </si>
  <si>
    <t>964244275.1</t>
  </si>
  <si>
    <t>020616535.1</t>
  </si>
  <si>
    <t>ASM2061653v1</t>
  </si>
  <si>
    <t>964244495.1</t>
  </si>
  <si>
    <t>TS1974</t>
  </si>
  <si>
    <t>964244905.1</t>
  </si>
  <si>
    <t>SRR12240177</t>
  </si>
  <si>
    <t>964245015.1</t>
  </si>
  <si>
    <t>SRR13685165</t>
  </si>
  <si>
    <t>964246205.1</t>
  </si>
  <si>
    <t>SRR14722129</t>
  </si>
  <si>
    <t>964246855.1</t>
  </si>
  <si>
    <t>SRR14722022</t>
  </si>
  <si>
    <t>964247205.1</t>
  </si>
  <si>
    <t>SRR11456922</t>
  </si>
  <si>
    <t>964247745.1</t>
  </si>
  <si>
    <t>T1894</t>
  </si>
  <si>
    <t>964249355.1</t>
  </si>
  <si>
    <t>SRR14722170</t>
  </si>
  <si>
    <t>964250285.1</t>
  </si>
  <si>
    <t>SRR14722301</t>
  </si>
  <si>
    <t>964657815.1</t>
  </si>
  <si>
    <t>R</t>
  </si>
  <si>
    <t>026130545.1</t>
  </si>
  <si>
    <t>ASM2613054v1</t>
  </si>
  <si>
    <t>964658355.1</t>
  </si>
  <si>
    <t>964658465.1</t>
  </si>
  <si>
    <t>000178815.2</t>
  </si>
  <si>
    <t>ASM17881v2</t>
  </si>
  <si>
    <t>000372845.1</t>
  </si>
  <si>
    <t>ASM37284v1</t>
  </si>
  <si>
    <t>001418005.1</t>
  </si>
  <si>
    <t>ASM141800v1</t>
  </si>
  <si>
    <t>001741865.1</t>
  </si>
  <si>
    <t>ASM174186v1</t>
  </si>
  <si>
    <t>002917105.1</t>
  </si>
  <si>
    <t>ASM291710v1</t>
  </si>
  <si>
    <t>003004785.1</t>
  </si>
  <si>
    <t>ASM300478v1</t>
  </si>
  <si>
    <t>003113265.1</t>
  </si>
  <si>
    <t>ASM311326v1</t>
  </si>
  <si>
    <t>003351345.1</t>
  </si>
  <si>
    <t>ASM335134v1</t>
  </si>
  <si>
    <t>033947565.1</t>
  </si>
  <si>
    <t>ASM3394756v1</t>
  </si>
  <si>
    <t>003722355.1</t>
  </si>
  <si>
    <t>ASM372235v1</t>
  </si>
  <si>
    <t>004802635.2</t>
  </si>
  <si>
    <t>ASM480263v2</t>
  </si>
  <si>
    <t>013044135.1</t>
  </si>
  <si>
    <t>ASM1304413v1</t>
  </si>
  <si>
    <t>013350005.1</t>
  </si>
  <si>
    <t>ASM1335000v1</t>
  </si>
  <si>
    <t>014195635.1</t>
  </si>
  <si>
    <t>ASM1419563v1</t>
  </si>
  <si>
    <t>014196925.1</t>
  </si>
  <si>
    <t>ASM1419692v1</t>
  </si>
  <si>
    <t>014636935.1</t>
  </si>
  <si>
    <t>ASM1463693v1</t>
  </si>
  <si>
    <t>014640075.1</t>
  </si>
  <si>
    <t>ASM1464007v1</t>
  </si>
  <si>
    <t>014656355.1</t>
  </si>
  <si>
    <t>ASM1465635v1</t>
  </si>
  <si>
    <t>014764685.1</t>
  </si>
  <si>
    <t>ASM1476468v1</t>
  </si>
  <si>
    <t>First contig name</t>
  </si>
  <si>
    <t>GCA_021781815.1</t>
  </si>
  <si>
    <t>GCF_000019365.1</t>
  </si>
  <si>
    <t>GCF_000022085.1</t>
  </si>
  <si>
    <t>NCBI Assembly Accession</t>
  </si>
  <si>
    <t>GCF_000757795.1</t>
  </si>
  <si>
    <t>GCF_001422375.1</t>
  </si>
  <si>
    <t>GCF_001422985.1</t>
  </si>
  <si>
    <t>GCF_001424525.1</t>
  </si>
  <si>
    <t>GCF_003173715.1</t>
  </si>
  <si>
    <t>GCF_003173735.1</t>
  </si>
  <si>
    <t>GCF_003173775.1</t>
  </si>
  <si>
    <t>GCF_004004555.2</t>
  </si>
  <si>
    <t>GCF_010692745.1</t>
  </si>
  <si>
    <t>GCF_002741015.1</t>
  </si>
  <si>
    <t>GCF_003574465.1</t>
  </si>
  <si>
    <t>GCF_006740745.1</t>
  </si>
  <si>
    <t>GCF_004363955.1</t>
  </si>
  <si>
    <t>GCF_000372825.1</t>
  </si>
  <si>
    <t>GCF_003151255.1</t>
  </si>
  <si>
    <t>GCF_014196345.1</t>
  </si>
  <si>
    <t>GCF_013044135.1</t>
  </si>
  <si>
    <t>GCA_901457705.2</t>
  </si>
  <si>
    <t>GCA_901457725.1</t>
  </si>
  <si>
    <t>GCA_003315135.1</t>
  </si>
  <si>
    <t>GCA_036276175.1</t>
  </si>
  <si>
    <t>GCA_018398275.1</t>
  </si>
  <si>
    <t>GCA_018398355.1</t>
  </si>
  <si>
    <t>GCA_022760755.1</t>
  </si>
  <si>
    <t>GCA_024294805.1</t>
  </si>
  <si>
    <t>GCA_024448135.1</t>
  </si>
  <si>
    <t>GCA_025209975.1</t>
  </si>
  <si>
    <t>GCA_027571405.1</t>
  </si>
  <si>
    <t>GCA_027925385.1</t>
  </si>
  <si>
    <t>GCA_027925445.1</t>
  </si>
  <si>
    <t>GCA_030067675.1</t>
  </si>
  <si>
    <t>GCA_043758995.1</t>
  </si>
  <si>
    <t>GCA_030144325.1</t>
  </si>
  <si>
    <t>GCA_030758975.1</t>
  </si>
  <si>
    <t>GCA_032464875.1</t>
  </si>
  <si>
    <t>GCA_036576025.1</t>
  </si>
  <si>
    <t>GCA_039655745.1</t>
  </si>
  <si>
    <t>GCA_042432495.1</t>
  </si>
  <si>
    <t>GCA_042432745.1</t>
  </si>
  <si>
    <t>GCA_042655245.1</t>
  </si>
  <si>
    <t>GCA_042657265.1</t>
  </si>
  <si>
    <t>GCA_042685445.1</t>
  </si>
  <si>
    <t>GCA_964236485.1</t>
  </si>
  <si>
    <t>GCA_900102525.1</t>
  </si>
  <si>
    <t>GCA_900108245.1</t>
  </si>
  <si>
    <t>GCA_900109525.1</t>
  </si>
  <si>
    <t>GCA_900168195.1</t>
  </si>
  <si>
    <t>GCF_000019845.1</t>
  </si>
  <si>
    <t>GCF_000385335.1</t>
  </si>
  <si>
    <t>GCF_000427445.1</t>
  </si>
  <si>
    <t>GCF_000745425.1</t>
  </si>
  <si>
    <t>GCF_000746085.1</t>
  </si>
  <si>
    <t>GCF_004135935.1</t>
  </si>
  <si>
    <t>GCA_964242265.1</t>
  </si>
  <si>
    <t>GCF_038024855.1</t>
  </si>
  <si>
    <t>GCF_045689225.1</t>
  </si>
  <si>
    <t>GCA_964242785.1</t>
  </si>
  <si>
    <t>GCA_964243035.1</t>
  </si>
  <si>
    <t>GCA_964243125.1</t>
  </si>
  <si>
    <t>GCF_900114285.1</t>
  </si>
  <si>
    <t>GCF_000021745.1</t>
  </si>
  <si>
    <t>GCF_900187365.1</t>
  </si>
  <si>
    <t>GCF_014197735.1</t>
  </si>
  <si>
    <t>GCF_014645695.1</t>
  </si>
  <si>
    <t>GCF_000429045.1</t>
  </si>
  <si>
    <t>GCF_008386575.1</t>
  </si>
  <si>
    <t>GCA_027923385.1</t>
  </si>
  <si>
    <t>GCA_964243135.1</t>
  </si>
  <si>
    <t>GCA_008641065.1</t>
  </si>
  <si>
    <t>GCA_964243405.1</t>
  </si>
  <si>
    <t>GCA_964244255.1</t>
  </si>
  <si>
    <t>GCA_004137085.1</t>
  </si>
  <si>
    <t>GCA_964245085.1</t>
  </si>
  <si>
    <t>GCA_964245215.1</t>
  </si>
  <si>
    <t>GCA_964245915.1</t>
  </si>
  <si>
    <t>GCA_964246815.1</t>
  </si>
  <si>
    <t>GCA_964247575.1</t>
  </si>
  <si>
    <t>GCA_964249275.1</t>
  </si>
  <si>
    <t>GCA_964252065.1</t>
  </si>
  <si>
    <t>GCA_964252585.1</t>
  </si>
  <si>
    <t>GCA_004137685.1</t>
  </si>
  <si>
    <t>GCA_004323635.1</t>
  </si>
  <si>
    <t>GCA_004327155.1</t>
  </si>
  <si>
    <t>GCA_964657515.1</t>
  </si>
  <si>
    <t>GCA_964241925.1</t>
  </si>
  <si>
    <t>GCA_964242715.1</t>
  </si>
  <si>
    <t>GCA_964244795.1</t>
  </si>
  <si>
    <t>GCA_964245795.1</t>
  </si>
  <si>
    <t>GCA_964250725.1</t>
  </si>
  <si>
    <t>GCA_964251455.1</t>
  </si>
  <si>
    <t>GCA_964242245.1</t>
  </si>
  <si>
    <t>GCA_964242725.1</t>
  </si>
  <si>
    <t>GCA_964244095.1</t>
  </si>
  <si>
    <t>GCA_021730615.1</t>
  </si>
  <si>
    <t>GCA_964245765.1</t>
  </si>
  <si>
    <t>GCA_964249385.1</t>
  </si>
  <si>
    <t>GCA_964251405.1</t>
  </si>
  <si>
    <t>GCA_964657435.1</t>
  </si>
  <si>
    <t>GCA_964235705.1</t>
  </si>
  <si>
    <t>GCA_964235845.1</t>
  </si>
  <si>
    <t>GCA_964243415.1</t>
  </si>
  <si>
    <t>GCA_964243425.1</t>
  </si>
  <si>
    <t>GCA_964243435.1</t>
  </si>
  <si>
    <t>GCA_964244275.1</t>
  </si>
  <si>
    <t>GCA_020616535.1</t>
  </si>
  <si>
    <t>GCA_964244495.1</t>
  </si>
  <si>
    <t>GCA_964244905.1</t>
  </si>
  <si>
    <t>GCA_964245015.1</t>
  </si>
  <si>
    <t>GCA_964246205.1</t>
  </si>
  <si>
    <t>GCA_964246855.1</t>
  </si>
  <si>
    <t>GCA_964247205.1</t>
  </si>
  <si>
    <t>GCA_964247745.1</t>
  </si>
  <si>
    <t>GCA_964249355.1</t>
  </si>
  <si>
    <t>GCA_964250285.1</t>
  </si>
  <si>
    <t>GCA_964657815.1</t>
  </si>
  <si>
    <t>GCA_026130545.1</t>
  </si>
  <si>
    <t>GCA_964658355.1</t>
  </si>
  <si>
    <t>GCA_964658465.1</t>
  </si>
  <si>
    <t>GCA_000178815.2</t>
  </si>
  <si>
    <t>GCA_000372845.1</t>
  </si>
  <si>
    <t>GCA_001418005.1</t>
  </si>
  <si>
    <t>GCA_001741865.1</t>
  </si>
  <si>
    <t>GCA_002917105.1</t>
  </si>
  <si>
    <t>GCA_003004785.1</t>
  </si>
  <si>
    <t>GCA_003113265.1</t>
  </si>
  <si>
    <t>GCA_003351345.1</t>
  </si>
  <si>
    <t>GCA_033947565.1</t>
  </si>
  <si>
    <t>GCA_003722355.1</t>
  </si>
  <si>
    <t>GCA_004802635.2</t>
  </si>
  <si>
    <t>GCA_013044135.1</t>
  </si>
  <si>
    <t>GCA_013350005.1</t>
  </si>
  <si>
    <t>GCA_014195635.1</t>
  </si>
  <si>
    <t>GCA_014196925.1</t>
  </si>
  <si>
    <t>GCA_014636935.1</t>
  </si>
  <si>
    <t>GCA_014640075.1</t>
  </si>
  <si>
    <t>GCA_014656355.1</t>
  </si>
  <si>
    <t>GCA_014764685.1</t>
  </si>
  <si>
    <t>NCBI accession number</t>
  </si>
  <si>
    <t>1131</t>
  </si>
  <si>
    <t>77</t>
  </si>
  <si>
    <t>RAST annotation file name</t>
  </si>
  <si>
    <t>Genome/MAG file name</t>
  </si>
  <si>
    <t>Genome/MAG size (Genome/MAG file)</t>
  </si>
  <si>
    <t>Isolation source - mostly provided here for MAGs</t>
  </si>
  <si>
    <t>Number of contigs (Genome/MAG file)</t>
  </si>
  <si>
    <t>N50 (Genome/MAG file)</t>
  </si>
  <si>
    <t>GC content (Genome/MAG file)</t>
  </si>
  <si>
    <t>JB_name</t>
  </si>
  <si>
    <t>publication_name</t>
  </si>
  <si>
    <t>accession</t>
  </si>
  <si>
    <t>abba_bin.20.orig</t>
  </si>
  <si>
    <t>SAMN50565336</t>
  </si>
  <si>
    <t>thoc_bin.45.orig</t>
  </si>
  <si>
    <t>SAMN50565628</t>
  </si>
  <si>
    <t>abba_bin.112.orig</t>
  </si>
  <si>
    <t>SAMN50565318</t>
  </si>
  <si>
    <t>abba_bin.25.orig</t>
  </si>
  <si>
    <t>SAMN50565026</t>
  </si>
  <si>
    <t>abba_bin.88.orig</t>
  </si>
  <si>
    <t>SAMN50565394</t>
  </si>
  <si>
    <t>abba_bin.70.orig</t>
  </si>
  <si>
    <t>SAMN50565380</t>
  </si>
  <si>
    <t>abba_bin.120.orig</t>
  </si>
  <si>
    <t>SAMN50565326</t>
  </si>
  <si>
    <t>abba_bin.35.orig</t>
  </si>
  <si>
    <t>SAMN50565347</t>
  </si>
  <si>
    <t>coco_bin.48.orig</t>
  </si>
  <si>
    <t>SAMN50565532</t>
  </si>
  <si>
    <t>SAMN50565376</t>
  </si>
  <si>
    <t>acsa_bin.11.orig</t>
  </si>
  <si>
    <t>SAMN50565406</t>
  </si>
  <si>
    <t>coco_bin.9.orig</t>
  </si>
  <si>
    <t>SAMN50565541</t>
  </si>
  <si>
    <t>thoc_bin.73.orig</t>
  </si>
  <si>
    <t>SAMN50565652</t>
  </si>
  <si>
    <t>thoc_bin.88.orig</t>
  </si>
  <si>
    <t>SAMN50565665</t>
  </si>
  <si>
    <t>thoc_bin.102.orig</t>
  </si>
  <si>
    <t>SAMN50565593</t>
  </si>
  <si>
    <t>thoc_bin.79.orig</t>
  </si>
  <si>
    <t>SAMN50565657</t>
  </si>
  <si>
    <t>thoc_bin.99.orig</t>
  </si>
  <si>
    <t>SAMN50565671</t>
  </si>
  <si>
    <t>NCBI accession number (NB: provisional sample accessions are provided for 22 leaf-associated MAG;  in BOLD)</t>
  </si>
  <si>
    <t>isolate/bin name  (NB: names for 22 leaf-associated MAG might differ from those provided in NCBI; refer to accession numbers; in BOLD)</t>
  </si>
  <si>
    <r>
      <t xml:space="preserve">This file combines files data4.txt and Stat-genomes.txt  - </t>
    </r>
    <r>
      <rPr>
        <b/>
        <sz val="20"/>
        <color theme="1"/>
        <rFont val="Arial"/>
      </rPr>
      <t>information needs to be updated for 22 leaf-associated MAGs (in bold) upon their publication (bioproject PRJNA1291777)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</si>
</sst>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Arial"/>
      <family val="2"/>
    </font>
    <font>
      <sz val="8"/>
      <name val="Calibri"/>
      <family val="2"/>
      <scheme val="minor"/>
    </font>
    <font>
      <b/>
      <sz val="20"/>
      <color theme="1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3" borderId="0" xfId="0" applyFont="1" applyFill="1"/>
    <xf numFmtId="0" fontId="0" fillId="2" borderId="0" xfId="0" applyFill="1"/>
    <xf numFmtId="0" fontId="0" fillId="4" borderId="0" xfId="0" applyFill="1"/>
    <xf numFmtId="0" fontId="0" fillId="0" borderId="0" xfId="0" applyFill="1"/>
    <xf numFmtId="0" fontId="0" fillId="5" borderId="0" xfId="0" applyFill="1"/>
    <xf numFmtId="0" fontId="0" fillId="6" borderId="0" xfId="0" applyFill="1"/>
    <xf numFmtId="0" fontId="0" fillId="0" borderId="0" xfId="0" applyFill="1" applyAlignment="1">
      <alignment horizontal="left"/>
    </xf>
    <xf numFmtId="0" fontId="0" fillId="0" borderId="0" xfId="0" applyFill="1" applyAlignment="1">
      <alignment horizontal="left"/>
    </xf>
    <xf numFmtId="0" fontId="1" fillId="6" borderId="0" xfId="0" applyFont="1" applyFill="1"/>
    <xf numFmtId="0" fontId="0" fillId="0" borderId="0" xfId="0" quotePrefix="1" applyFill="1"/>
    <xf numFmtId="0" fontId="1" fillId="0" borderId="0" xfId="0" applyFont="1" applyFill="1" applyAlignment="1"/>
    <xf numFmtId="0" fontId="0" fillId="0" borderId="0" xfId="0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Fill="1" applyAlignment="1">
      <alignment horizontal="left"/>
    </xf>
    <xf numFmtId="49" fontId="4" fillId="2" borderId="0" xfId="0" applyNumberFormat="1" applyFont="1" applyFill="1" applyAlignment="1">
      <alignment horizontal="center" wrapText="1"/>
    </xf>
  </cellXfs>
  <cellStyles count="11">
    <cellStyle name="Lien hypertexte" xfId="1" builtinId="8" hidden="1"/>
    <cellStyle name="Lien hypertexte" xfId="3" builtinId="8" hidden="1"/>
    <cellStyle name="Lien hypertexte" xfId="5" builtinId="8" hidden="1"/>
    <cellStyle name="Lien hypertexte" xfId="7" builtinId="8" hidden="1"/>
    <cellStyle name="Lien hypertexte" xfId="9" builtinId="8" hidden="1"/>
    <cellStyle name="Lien hypertexte visité" xfId="2" builtinId="9" hidden="1"/>
    <cellStyle name="Lien hypertexte visité" xfId="4" builtinId="9" hidden="1"/>
    <cellStyle name="Lien hypertexte visité" xfId="6" builtinId="9" hidden="1"/>
    <cellStyle name="Lien hypertexte visité" xfId="8" builtinId="9" hidden="1"/>
    <cellStyle name="Lien hypertexte visité" xfId="10" builtinId="9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Thème Office">
  <a:themeElements>
    <a:clrScheme name="Bureau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Bureau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94"/>
  <sheetViews>
    <sheetView tabSelected="1" workbookViewId="0">
      <selection activeCell="F11" sqref="F11"/>
    </sheetView>
  </sheetViews>
  <sheetFormatPr baseColWidth="10" defaultRowHeight="15" x14ac:dyDescent="0"/>
  <cols>
    <col min="1" max="2" width="20.5" bestFit="1" customWidth="1"/>
    <col min="3" max="3" width="30.33203125" bestFit="1" customWidth="1"/>
    <col min="4" max="4" width="33.83203125" bestFit="1" customWidth="1"/>
    <col min="5" max="5" width="20.5" bestFit="1" customWidth="1"/>
    <col min="6" max="6" width="82.33203125" bestFit="1" customWidth="1"/>
    <col min="7" max="7" width="18.5" bestFit="1" customWidth="1"/>
    <col min="8" max="8" width="13.33203125" bestFit="1" customWidth="1"/>
    <col min="9" max="9" width="11.5" bestFit="1" customWidth="1"/>
    <col min="10" max="10" width="8.1640625" bestFit="1" customWidth="1"/>
    <col min="11" max="11" width="7" bestFit="1" customWidth="1"/>
    <col min="12" max="12" width="8.1640625" bestFit="1" customWidth="1"/>
    <col min="13" max="13" width="17.83203125" bestFit="1" customWidth="1"/>
    <col min="14" max="14" width="6.1640625" bestFit="1" customWidth="1"/>
    <col min="15" max="15" width="4.1640625" bestFit="1" customWidth="1"/>
    <col min="16" max="16" width="6.5" bestFit="1" customWidth="1"/>
    <col min="17" max="17" width="5.5" bestFit="1" customWidth="1"/>
    <col min="18" max="18" width="6.6640625" bestFit="1" customWidth="1"/>
    <col min="19" max="19" width="11.33203125" bestFit="1" customWidth="1"/>
    <col min="20" max="20" width="5" bestFit="1" customWidth="1"/>
    <col min="21" max="21" width="9" bestFit="1" customWidth="1"/>
    <col min="24" max="24" width="3.1640625" bestFit="1" customWidth="1"/>
  </cols>
  <sheetData>
    <row r="1" spans="1:5" ht="46" customHeight="1">
      <c r="A1" s="17" t="s">
        <v>2000</v>
      </c>
      <c r="B1" s="17"/>
      <c r="C1" s="17"/>
      <c r="D1" s="17"/>
      <c r="E1" s="17"/>
    </row>
    <row r="2" spans="1:5">
      <c r="A2" s="3" t="s">
        <v>0</v>
      </c>
      <c r="B2" s="15" t="s">
        <v>865</v>
      </c>
      <c r="C2" s="15"/>
      <c r="D2" s="15"/>
      <c r="E2" s="2"/>
    </row>
    <row r="3" spans="1:5">
      <c r="A3" s="3" t="s">
        <v>866</v>
      </c>
      <c r="B3" s="15" t="s">
        <v>868</v>
      </c>
      <c r="C3" s="15"/>
      <c r="D3" s="15"/>
      <c r="E3" s="2"/>
    </row>
    <row r="4" spans="1:5">
      <c r="A4" s="3" t="s">
        <v>1</v>
      </c>
      <c r="B4" s="15" t="s">
        <v>867</v>
      </c>
      <c r="C4" s="15"/>
      <c r="D4" s="15"/>
      <c r="E4" s="2"/>
    </row>
    <row r="5" spans="1:5">
      <c r="A5" s="3" t="s">
        <v>2</v>
      </c>
      <c r="B5" s="13" t="s">
        <v>1999</v>
      </c>
      <c r="C5" s="13"/>
      <c r="D5" s="13"/>
      <c r="E5" s="10"/>
    </row>
    <row r="6" spans="1:5">
      <c r="A6" s="3" t="s">
        <v>1952</v>
      </c>
      <c r="B6" s="16" t="s">
        <v>1998</v>
      </c>
      <c r="C6" s="16"/>
      <c r="D6" s="16"/>
      <c r="E6" s="16"/>
    </row>
    <row r="7" spans="1:5">
      <c r="A7" s="3" t="s">
        <v>3</v>
      </c>
      <c r="B7" s="14" t="s">
        <v>1956</v>
      </c>
      <c r="C7" s="14"/>
      <c r="D7" s="14"/>
      <c r="E7" s="9"/>
    </row>
    <row r="8" spans="1:5">
      <c r="A8" s="3" t="s">
        <v>4</v>
      </c>
      <c r="B8" s="14" t="s">
        <v>1955</v>
      </c>
      <c r="C8" s="14"/>
      <c r="D8" s="14"/>
      <c r="E8" s="9"/>
    </row>
    <row r="9" spans="1:5">
      <c r="A9" s="3" t="s">
        <v>5</v>
      </c>
      <c r="B9" s="15" t="s">
        <v>869</v>
      </c>
      <c r="C9" s="15"/>
      <c r="D9" s="15"/>
      <c r="E9" s="2"/>
    </row>
    <row r="10" spans="1:5">
      <c r="A10" s="3" t="s">
        <v>6</v>
      </c>
      <c r="B10" s="15" t="s">
        <v>1958</v>
      </c>
      <c r="C10" s="15"/>
      <c r="D10" s="15"/>
      <c r="E10" s="2"/>
    </row>
    <row r="11" spans="1:5">
      <c r="A11" s="3" t="s">
        <v>512</v>
      </c>
      <c r="B11" s="15" t="s">
        <v>1957</v>
      </c>
      <c r="C11" s="15"/>
      <c r="D11" s="15"/>
      <c r="E11" s="2"/>
    </row>
    <row r="12" spans="1:5">
      <c r="A12" s="3" t="s">
        <v>513</v>
      </c>
      <c r="B12" s="15" t="s">
        <v>1959</v>
      </c>
      <c r="C12" s="15"/>
      <c r="D12" s="15"/>
      <c r="E12" s="2"/>
    </row>
    <row r="13" spans="1:5">
      <c r="A13" s="3" t="s">
        <v>514</v>
      </c>
      <c r="B13" s="15" t="s">
        <v>1960</v>
      </c>
      <c r="C13" s="15"/>
      <c r="D13" s="15"/>
      <c r="E13" s="2"/>
    </row>
    <row r="14" spans="1:5">
      <c r="A14" s="3" t="s">
        <v>515</v>
      </c>
      <c r="B14" s="15" t="s">
        <v>1961</v>
      </c>
      <c r="C14" s="15"/>
      <c r="D14" s="15"/>
      <c r="E14" s="2"/>
    </row>
    <row r="15" spans="1:5">
      <c r="A15" s="3" t="s">
        <v>516</v>
      </c>
      <c r="B15" s="15" t="s">
        <v>870</v>
      </c>
      <c r="C15" s="15"/>
      <c r="D15" s="15"/>
      <c r="E15" s="2"/>
    </row>
    <row r="16" spans="1:5">
      <c r="A16" s="3" t="s">
        <v>517</v>
      </c>
      <c r="B16" s="15" t="s">
        <v>871</v>
      </c>
      <c r="C16" s="15"/>
      <c r="D16" s="15"/>
      <c r="E16" s="2"/>
    </row>
    <row r="17" spans="1:24">
      <c r="A17" s="3" t="s">
        <v>518</v>
      </c>
      <c r="B17" s="15" t="s">
        <v>872</v>
      </c>
      <c r="C17" s="15"/>
      <c r="D17" s="15"/>
      <c r="E17" s="2"/>
    </row>
    <row r="18" spans="1:24">
      <c r="A18" s="3" t="s">
        <v>519</v>
      </c>
      <c r="B18" s="15" t="s">
        <v>873</v>
      </c>
      <c r="C18" s="15"/>
      <c r="D18" s="15"/>
      <c r="E18" s="2"/>
    </row>
    <row r="19" spans="1:24">
      <c r="A19" s="3" t="s">
        <v>520</v>
      </c>
      <c r="B19" s="15" t="s">
        <v>874</v>
      </c>
      <c r="C19" s="15"/>
      <c r="D19" s="15"/>
      <c r="E19" s="2"/>
    </row>
    <row r="20" spans="1:24">
      <c r="A20" s="3" t="s">
        <v>521</v>
      </c>
      <c r="B20" s="15" t="s">
        <v>875</v>
      </c>
      <c r="C20" s="15"/>
      <c r="D20" s="15"/>
      <c r="E20" s="2"/>
    </row>
    <row r="21" spans="1:24">
      <c r="A21" s="3" t="s">
        <v>861</v>
      </c>
      <c r="B21" s="15" t="s">
        <v>876</v>
      </c>
      <c r="C21" s="15"/>
      <c r="D21" s="15"/>
      <c r="E21" s="2"/>
    </row>
    <row r="22" spans="1:24">
      <c r="A22" s="3" t="s">
        <v>862</v>
      </c>
      <c r="B22" s="15" t="s">
        <v>877</v>
      </c>
      <c r="C22" s="15"/>
      <c r="D22" s="15"/>
      <c r="E22" s="2"/>
    </row>
    <row r="23" spans="1:24">
      <c r="A23" s="1"/>
      <c r="B23" s="1"/>
      <c r="C23" s="1"/>
      <c r="D23" s="1"/>
      <c r="E23" s="1"/>
    </row>
    <row r="24" spans="1:24">
      <c r="A24" s="3" t="s">
        <v>0</v>
      </c>
      <c r="B24" s="3" t="s">
        <v>866</v>
      </c>
      <c r="C24" s="3" t="s">
        <v>1</v>
      </c>
      <c r="D24" s="3" t="s">
        <v>2</v>
      </c>
      <c r="E24" s="3" t="s">
        <v>1952</v>
      </c>
      <c r="F24" s="3" t="s">
        <v>3</v>
      </c>
      <c r="G24" s="3" t="s">
        <v>4</v>
      </c>
      <c r="H24" s="3" t="s">
        <v>5</v>
      </c>
      <c r="I24" s="3" t="s">
        <v>6</v>
      </c>
      <c r="J24" s="3" t="s">
        <v>512</v>
      </c>
      <c r="K24" s="3" t="s">
        <v>513</v>
      </c>
      <c r="L24" s="3" t="s">
        <v>514</v>
      </c>
      <c r="M24" s="3" t="s">
        <v>515</v>
      </c>
      <c r="N24" s="3" t="s">
        <v>516</v>
      </c>
      <c r="O24" s="3" t="s">
        <v>517</v>
      </c>
      <c r="P24" s="3" t="s">
        <v>518</v>
      </c>
      <c r="Q24" s="3" t="s">
        <v>519</v>
      </c>
      <c r="R24" s="3" t="s">
        <v>520</v>
      </c>
      <c r="S24" s="3" t="s">
        <v>521</v>
      </c>
      <c r="T24" s="3" t="s">
        <v>861</v>
      </c>
      <c r="U24" s="3" t="s">
        <v>862</v>
      </c>
    </row>
    <row r="25" spans="1:24">
      <c r="A25" t="s">
        <v>307</v>
      </c>
      <c r="B25" t="s">
        <v>308</v>
      </c>
      <c r="C25" t="s">
        <v>309</v>
      </c>
      <c r="D25" s="6" t="s">
        <v>1440</v>
      </c>
      <c r="E25" s="6" t="s">
        <v>1834</v>
      </c>
      <c r="F25" s="6" t="s">
        <v>310</v>
      </c>
      <c r="G25" s="6" t="s">
        <v>758</v>
      </c>
      <c r="H25" s="6" t="s">
        <v>12</v>
      </c>
      <c r="I25" s="6" t="s">
        <v>311</v>
      </c>
      <c r="J25" s="6">
        <v>6792213</v>
      </c>
      <c r="K25" s="6">
        <v>91</v>
      </c>
      <c r="L25" s="6">
        <v>145054</v>
      </c>
      <c r="M25" s="6" t="s">
        <v>615</v>
      </c>
      <c r="N25" s="6">
        <v>7012</v>
      </c>
      <c r="O25" s="6">
        <v>48</v>
      </c>
      <c r="P25" s="6">
        <v>0</v>
      </c>
      <c r="Q25" s="6">
        <v>0</v>
      </c>
      <c r="R25" s="6">
        <v>2362</v>
      </c>
      <c r="S25" s="6">
        <v>3701</v>
      </c>
      <c r="T25" s="6" t="s">
        <v>863</v>
      </c>
      <c r="U25" s="6" t="s">
        <v>863</v>
      </c>
      <c r="X25">
        <f>COUNTIF(H:H,"genomics")</f>
        <v>97</v>
      </c>
    </row>
    <row r="26" spans="1:24">
      <c r="A26" t="s">
        <v>331</v>
      </c>
      <c r="B26" t="s">
        <v>131</v>
      </c>
      <c r="C26" t="s">
        <v>332</v>
      </c>
      <c r="D26" s="6" t="s">
        <v>333</v>
      </c>
      <c r="E26" s="6" t="s">
        <v>1835</v>
      </c>
      <c r="F26" s="6" t="s">
        <v>334</v>
      </c>
      <c r="G26" s="6" t="s">
        <v>765</v>
      </c>
      <c r="H26" s="6" t="s">
        <v>324</v>
      </c>
      <c r="I26" s="6" t="s">
        <v>135</v>
      </c>
      <c r="J26" s="6">
        <v>4781876</v>
      </c>
      <c r="K26" s="6">
        <v>173</v>
      </c>
      <c r="L26" s="6">
        <v>51156</v>
      </c>
      <c r="M26" s="6" t="s">
        <v>622</v>
      </c>
      <c r="N26" s="6">
        <v>4853</v>
      </c>
      <c r="O26" s="6">
        <v>39</v>
      </c>
      <c r="P26" s="6">
        <v>0</v>
      </c>
      <c r="Q26" s="6">
        <v>0</v>
      </c>
      <c r="R26" s="6">
        <v>2069</v>
      </c>
      <c r="S26" s="6">
        <v>1978</v>
      </c>
      <c r="T26" s="6" t="s">
        <v>863</v>
      </c>
      <c r="U26" s="6" t="s">
        <v>864</v>
      </c>
    </row>
    <row r="27" spans="1:24">
      <c r="A27" t="s">
        <v>106</v>
      </c>
      <c r="B27" t="s">
        <v>94</v>
      </c>
      <c r="C27" t="s">
        <v>107</v>
      </c>
      <c r="D27" s="6" t="s">
        <v>1401</v>
      </c>
      <c r="E27" s="6" t="s">
        <v>1836</v>
      </c>
      <c r="F27" s="6" t="s">
        <v>108</v>
      </c>
      <c r="G27" s="6" t="s">
        <v>722</v>
      </c>
      <c r="H27" s="6" t="s">
        <v>12</v>
      </c>
      <c r="I27" s="6" t="s">
        <v>10</v>
      </c>
      <c r="J27" s="6">
        <v>7299678</v>
      </c>
      <c r="K27" s="6">
        <v>7</v>
      </c>
      <c r="L27" s="6">
        <v>5657126</v>
      </c>
      <c r="M27" s="6" t="s">
        <v>553</v>
      </c>
      <c r="N27" s="6">
        <v>7160</v>
      </c>
      <c r="O27" s="6">
        <v>54</v>
      </c>
      <c r="P27" s="6">
        <v>248</v>
      </c>
      <c r="Q27" s="6">
        <v>0</v>
      </c>
      <c r="R27" s="6">
        <v>2338</v>
      </c>
      <c r="S27" s="6">
        <v>3231</v>
      </c>
      <c r="T27" s="6" t="s">
        <v>863</v>
      </c>
      <c r="U27" s="6" t="s">
        <v>863</v>
      </c>
    </row>
    <row r="28" spans="1:24">
      <c r="A28" t="s">
        <v>112</v>
      </c>
      <c r="B28" t="s">
        <v>94</v>
      </c>
      <c r="C28" t="s">
        <v>113</v>
      </c>
      <c r="D28" s="6" t="s">
        <v>1402</v>
      </c>
      <c r="E28" s="6" t="s">
        <v>1837</v>
      </c>
      <c r="F28" s="6" t="s">
        <v>114</v>
      </c>
      <c r="G28" s="6" t="s">
        <v>724</v>
      </c>
      <c r="H28" s="6" t="s">
        <v>12</v>
      </c>
      <c r="I28" s="6" t="s">
        <v>10</v>
      </c>
      <c r="J28" s="6">
        <v>3746798</v>
      </c>
      <c r="K28" s="6">
        <v>2</v>
      </c>
      <c r="L28" s="6">
        <v>3249455</v>
      </c>
      <c r="M28" s="6" t="s">
        <v>555</v>
      </c>
      <c r="N28" s="6">
        <v>3607</v>
      </c>
      <c r="O28" s="6">
        <v>53</v>
      </c>
      <c r="P28" s="6">
        <v>29</v>
      </c>
      <c r="Q28" s="6">
        <v>36</v>
      </c>
      <c r="R28" s="6">
        <v>2010</v>
      </c>
      <c r="S28" s="6">
        <v>1077</v>
      </c>
      <c r="T28" s="6" t="s">
        <v>863</v>
      </c>
      <c r="U28" s="6" t="s">
        <v>863</v>
      </c>
    </row>
    <row r="29" spans="1:24">
      <c r="A29" t="s">
        <v>301</v>
      </c>
      <c r="B29" t="s">
        <v>298</v>
      </c>
      <c r="C29" t="s">
        <v>302</v>
      </c>
      <c r="D29" s="6" t="s">
        <v>1398</v>
      </c>
      <c r="E29" s="6" t="s">
        <v>1838</v>
      </c>
      <c r="F29" s="6" t="s">
        <v>303</v>
      </c>
      <c r="G29" s="6" t="s">
        <v>756</v>
      </c>
      <c r="H29" s="6" t="s">
        <v>12</v>
      </c>
      <c r="I29" s="6" t="s">
        <v>10</v>
      </c>
      <c r="J29" s="6">
        <v>4345403</v>
      </c>
      <c r="K29" s="6">
        <v>5</v>
      </c>
      <c r="L29" s="6">
        <v>4130213</v>
      </c>
      <c r="M29" s="6" t="s">
        <v>613</v>
      </c>
      <c r="N29" s="6">
        <v>4389</v>
      </c>
      <c r="O29" s="6">
        <v>52</v>
      </c>
      <c r="P29" s="6">
        <v>104</v>
      </c>
      <c r="Q29" s="6">
        <v>0</v>
      </c>
      <c r="R29" s="6">
        <v>1903</v>
      </c>
      <c r="S29" s="6">
        <v>2066</v>
      </c>
      <c r="T29" s="6" t="s">
        <v>863</v>
      </c>
      <c r="U29" s="6" t="s">
        <v>863</v>
      </c>
    </row>
    <row r="30" spans="1:24">
      <c r="A30" t="s">
        <v>13</v>
      </c>
      <c r="B30" t="s">
        <v>8</v>
      </c>
      <c r="C30" t="s">
        <v>14</v>
      </c>
      <c r="D30" s="6" t="s">
        <v>1376</v>
      </c>
      <c r="E30" s="6" t="s">
        <v>1839</v>
      </c>
      <c r="F30" s="6" t="s">
        <v>15</v>
      </c>
      <c r="G30" s="6" t="s">
        <v>692</v>
      </c>
      <c r="H30" s="6" t="s">
        <v>12</v>
      </c>
      <c r="I30" s="6" t="s">
        <v>10</v>
      </c>
      <c r="J30" s="6">
        <v>4727519</v>
      </c>
      <c r="K30" s="6">
        <v>56</v>
      </c>
      <c r="L30" s="6">
        <v>172443</v>
      </c>
      <c r="M30" s="6" t="s">
        <v>523</v>
      </c>
      <c r="N30" s="6">
        <v>4405</v>
      </c>
      <c r="O30" s="6">
        <v>50</v>
      </c>
      <c r="P30" s="6">
        <v>0</v>
      </c>
      <c r="Q30" s="6">
        <v>0</v>
      </c>
      <c r="R30" s="6">
        <v>2092</v>
      </c>
      <c r="S30" s="6">
        <v>1672</v>
      </c>
      <c r="T30" s="6" t="s">
        <v>863</v>
      </c>
      <c r="U30" s="6" t="s">
        <v>864</v>
      </c>
    </row>
    <row r="31" spans="1:24">
      <c r="A31" t="s">
        <v>279</v>
      </c>
      <c r="B31" t="s">
        <v>252</v>
      </c>
      <c r="C31" t="s">
        <v>280</v>
      </c>
      <c r="D31" s="6" t="s">
        <v>1427</v>
      </c>
      <c r="E31" s="6" t="s">
        <v>1840</v>
      </c>
      <c r="F31" s="6" t="s">
        <v>281</v>
      </c>
      <c r="G31" s="6" t="s">
        <v>749</v>
      </c>
      <c r="H31" s="6" t="s">
        <v>12</v>
      </c>
      <c r="I31" s="6" t="s">
        <v>10</v>
      </c>
      <c r="J31" s="6">
        <v>3820957</v>
      </c>
      <c r="K31" s="6">
        <v>244</v>
      </c>
      <c r="L31" s="6">
        <v>37735</v>
      </c>
      <c r="M31" s="6" t="s">
        <v>606</v>
      </c>
      <c r="N31" s="6">
        <v>4350</v>
      </c>
      <c r="O31" s="6">
        <v>51</v>
      </c>
      <c r="P31" s="6">
        <v>0</v>
      </c>
      <c r="Q31" s="6">
        <v>0</v>
      </c>
      <c r="R31" s="6">
        <v>1970</v>
      </c>
      <c r="S31" s="6">
        <v>1894</v>
      </c>
      <c r="T31" s="6" t="s">
        <v>863</v>
      </c>
      <c r="U31" s="6" t="s">
        <v>863</v>
      </c>
    </row>
    <row r="32" spans="1:24">
      <c r="A32" t="s">
        <v>69</v>
      </c>
      <c r="B32" t="s">
        <v>51</v>
      </c>
      <c r="C32" t="s">
        <v>70</v>
      </c>
      <c r="D32" s="6" t="s">
        <v>1389</v>
      </c>
      <c r="E32" s="6" t="s">
        <v>1841</v>
      </c>
      <c r="F32" s="6" t="s">
        <v>71</v>
      </c>
      <c r="G32" s="6" t="s">
        <v>710</v>
      </c>
      <c r="H32" s="6" t="s">
        <v>12</v>
      </c>
      <c r="I32" s="6" t="s">
        <v>10</v>
      </c>
      <c r="J32" s="6">
        <v>4715150</v>
      </c>
      <c r="K32" s="6">
        <v>45</v>
      </c>
      <c r="L32" s="6">
        <v>280966</v>
      </c>
      <c r="M32" s="6" t="s">
        <v>541</v>
      </c>
      <c r="N32" s="6">
        <v>4760</v>
      </c>
      <c r="O32" s="6">
        <v>54</v>
      </c>
      <c r="P32" s="6">
        <v>0</v>
      </c>
      <c r="Q32" s="6">
        <v>0</v>
      </c>
      <c r="R32" s="6">
        <v>2150</v>
      </c>
      <c r="S32" s="6">
        <v>1876</v>
      </c>
      <c r="T32" s="6" t="s">
        <v>863</v>
      </c>
      <c r="U32" s="6" t="s">
        <v>863</v>
      </c>
    </row>
    <row r="33" spans="1:21">
      <c r="A33" t="s">
        <v>270</v>
      </c>
      <c r="B33" t="s">
        <v>252</v>
      </c>
      <c r="C33" t="s">
        <v>271</v>
      </c>
      <c r="D33" s="6" t="s">
        <v>1425</v>
      </c>
      <c r="E33" s="6" t="s">
        <v>1842</v>
      </c>
      <c r="F33" s="6" t="s">
        <v>272</v>
      </c>
      <c r="G33" s="6" t="s">
        <v>746</v>
      </c>
      <c r="H33" s="6" t="s">
        <v>12</v>
      </c>
      <c r="I33" s="6" t="s">
        <v>10</v>
      </c>
      <c r="J33" s="6">
        <v>4529117</v>
      </c>
      <c r="K33" s="6">
        <v>3</v>
      </c>
      <c r="L33" s="6">
        <v>4076007</v>
      </c>
      <c r="M33" s="6" t="s">
        <v>603</v>
      </c>
      <c r="N33" s="6">
        <v>4762</v>
      </c>
      <c r="O33" s="6">
        <v>53</v>
      </c>
      <c r="P33" s="6">
        <v>83</v>
      </c>
      <c r="Q33" s="6">
        <v>282</v>
      </c>
      <c r="R33" s="6">
        <v>1970</v>
      </c>
      <c r="S33" s="6">
        <v>2342</v>
      </c>
      <c r="T33" s="6" t="s">
        <v>863</v>
      </c>
      <c r="U33" s="6" t="s">
        <v>863</v>
      </c>
    </row>
    <row r="34" spans="1:21">
      <c r="A34" t="s">
        <v>267</v>
      </c>
      <c r="B34" t="s">
        <v>252</v>
      </c>
      <c r="C34" t="s">
        <v>268</v>
      </c>
      <c r="D34" s="6" t="s">
        <v>1421</v>
      </c>
      <c r="E34" s="6" t="s">
        <v>1843</v>
      </c>
      <c r="F34" s="6" t="s">
        <v>269</v>
      </c>
      <c r="G34" s="6" t="s">
        <v>745</v>
      </c>
      <c r="H34" s="6" t="s">
        <v>12</v>
      </c>
      <c r="I34" s="6" t="s">
        <v>10</v>
      </c>
      <c r="J34" s="6">
        <v>4483149</v>
      </c>
      <c r="K34" s="6">
        <v>7</v>
      </c>
      <c r="L34" s="6">
        <v>3733946</v>
      </c>
      <c r="M34" s="6" t="s">
        <v>602</v>
      </c>
      <c r="N34" s="6">
        <v>4823</v>
      </c>
      <c r="O34" s="6">
        <v>58</v>
      </c>
      <c r="P34" s="6">
        <v>344</v>
      </c>
      <c r="Q34" s="6">
        <v>0</v>
      </c>
      <c r="R34" s="6">
        <v>1894</v>
      </c>
      <c r="S34" s="6">
        <v>2417</v>
      </c>
      <c r="T34" s="6" t="s">
        <v>863</v>
      </c>
      <c r="U34" s="6" t="s">
        <v>863</v>
      </c>
    </row>
    <row r="35" spans="1:21">
      <c r="A35" t="s">
        <v>255</v>
      </c>
      <c r="B35" t="s">
        <v>252</v>
      </c>
      <c r="C35" t="s">
        <v>256</v>
      </c>
      <c r="D35" s="6" t="s">
        <v>1422</v>
      </c>
      <c r="E35" s="6" t="s">
        <v>1844</v>
      </c>
      <c r="F35" s="6" t="s">
        <v>257</v>
      </c>
      <c r="G35" s="6" t="s">
        <v>741</v>
      </c>
      <c r="H35" s="6" t="s">
        <v>12</v>
      </c>
      <c r="I35" s="6" t="s">
        <v>10</v>
      </c>
      <c r="J35" s="6">
        <v>4715351</v>
      </c>
      <c r="K35" s="6">
        <v>2</v>
      </c>
      <c r="L35" s="6">
        <v>4540773</v>
      </c>
      <c r="M35" s="6" t="s">
        <v>598</v>
      </c>
      <c r="N35" s="6">
        <v>4997</v>
      </c>
      <c r="O35" s="6">
        <v>51</v>
      </c>
      <c r="P35" s="6">
        <v>178</v>
      </c>
      <c r="Q35" s="6">
        <v>0</v>
      </c>
      <c r="R35" s="6">
        <v>1872</v>
      </c>
      <c r="S35" s="6">
        <v>2657</v>
      </c>
      <c r="T35" s="6" t="s">
        <v>863</v>
      </c>
      <c r="U35" s="6" t="s">
        <v>863</v>
      </c>
    </row>
    <row r="36" spans="1:21">
      <c r="A36" t="s">
        <v>103</v>
      </c>
      <c r="B36" t="s">
        <v>94</v>
      </c>
      <c r="C36" t="s">
        <v>104</v>
      </c>
      <c r="D36" s="6" t="s">
        <v>1403</v>
      </c>
      <c r="E36" s="6" t="s">
        <v>1845</v>
      </c>
      <c r="F36" s="6" t="s">
        <v>105</v>
      </c>
      <c r="G36" s="6" t="s">
        <v>721</v>
      </c>
      <c r="H36" s="6" t="s">
        <v>12</v>
      </c>
      <c r="I36" s="6" t="s">
        <v>10</v>
      </c>
      <c r="J36" s="6">
        <v>4018041</v>
      </c>
      <c r="K36" s="6">
        <v>37</v>
      </c>
      <c r="L36" s="6">
        <v>304836</v>
      </c>
      <c r="M36" s="6" t="s">
        <v>552</v>
      </c>
      <c r="N36" s="6">
        <v>3882</v>
      </c>
      <c r="O36" s="6">
        <v>54</v>
      </c>
      <c r="P36" s="6">
        <v>0</v>
      </c>
      <c r="Q36" s="6">
        <v>72</v>
      </c>
      <c r="R36" s="6">
        <v>2141</v>
      </c>
      <c r="S36" s="6">
        <v>1177</v>
      </c>
      <c r="T36" s="6" t="s">
        <v>863</v>
      </c>
      <c r="U36" s="6" t="s">
        <v>863</v>
      </c>
    </row>
    <row r="37" spans="1:21">
      <c r="A37" t="s">
        <v>335</v>
      </c>
      <c r="B37" t="s">
        <v>131</v>
      </c>
      <c r="C37" t="s">
        <v>332</v>
      </c>
      <c r="D37" s="6" t="s">
        <v>1347</v>
      </c>
      <c r="E37" s="6" t="s">
        <v>1846</v>
      </c>
      <c r="F37" s="6" t="s">
        <v>337</v>
      </c>
      <c r="G37" s="6" t="s">
        <v>766</v>
      </c>
      <c r="H37" s="6" t="s">
        <v>324</v>
      </c>
      <c r="I37" s="6" t="s">
        <v>338</v>
      </c>
      <c r="J37" s="6">
        <v>4463787</v>
      </c>
      <c r="K37" s="6">
        <v>661</v>
      </c>
      <c r="L37" s="6">
        <v>7856</v>
      </c>
      <c r="M37" s="6" t="s">
        <v>623</v>
      </c>
      <c r="N37" s="6">
        <v>5167</v>
      </c>
      <c r="O37" s="6">
        <v>36</v>
      </c>
      <c r="P37" s="6">
        <v>0</v>
      </c>
      <c r="Q37" s="6">
        <v>0</v>
      </c>
      <c r="R37" s="6">
        <v>1846</v>
      </c>
      <c r="S37" s="6">
        <v>2564</v>
      </c>
      <c r="T37" s="6" t="s">
        <v>864</v>
      </c>
      <c r="U37" s="6" t="s">
        <v>864</v>
      </c>
    </row>
    <row r="38" spans="1:21">
      <c r="A38" t="s">
        <v>90</v>
      </c>
      <c r="B38" t="s">
        <v>51</v>
      </c>
      <c r="C38" t="s">
        <v>91</v>
      </c>
      <c r="D38" s="6" t="s">
        <v>1383</v>
      </c>
      <c r="E38" s="6" t="s">
        <v>1847</v>
      </c>
      <c r="F38" s="6" t="s">
        <v>92</v>
      </c>
      <c r="G38" s="6" t="s">
        <v>717</v>
      </c>
      <c r="H38" s="6" t="s">
        <v>12</v>
      </c>
      <c r="I38" s="6" t="s">
        <v>10</v>
      </c>
      <c r="J38" s="6">
        <v>6306553</v>
      </c>
      <c r="K38" s="6">
        <v>2</v>
      </c>
      <c r="L38" s="6">
        <v>5934299</v>
      </c>
      <c r="M38" s="6" t="s">
        <v>548</v>
      </c>
      <c r="N38" s="6">
        <v>6384</v>
      </c>
      <c r="O38" s="6">
        <v>54</v>
      </c>
      <c r="P38" s="6">
        <v>49</v>
      </c>
      <c r="Q38" s="6">
        <v>0</v>
      </c>
      <c r="R38" s="6">
        <v>2416</v>
      </c>
      <c r="S38" s="6">
        <v>2557</v>
      </c>
      <c r="T38" s="6" t="s">
        <v>864</v>
      </c>
      <c r="U38" s="6" t="s">
        <v>863</v>
      </c>
    </row>
    <row r="39" spans="1:21">
      <c r="A39" t="s">
        <v>50</v>
      </c>
      <c r="B39" t="s">
        <v>51</v>
      </c>
      <c r="C39" t="s">
        <v>52</v>
      </c>
      <c r="D39" s="6" t="s">
        <v>1384</v>
      </c>
      <c r="E39" s="6" t="s">
        <v>1848</v>
      </c>
      <c r="F39" s="6" t="s">
        <v>53</v>
      </c>
      <c r="G39" s="6" t="s">
        <v>704</v>
      </c>
      <c r="H39" s="6" t="s">
        <v>12</v>
      </c>
      <c r="I39" s="6" t="s">
        <v>10</v>
      </c>
      <c r="J39" s="6">
        <v>5560387</v>
      </c>
      <c r="K39" s="6">
        <v>1</v>
      </c>
      <c r="L39" s="6">
        <v>5560387</v>
      </c>
      <c r="M39" s="6" t="s">
        <v>535</v>
      </c>
      <c r="N39" s="6">
        <v>5435</v>
      </c>
      <c r="O39" s="6">
        <v>48</v>
      </c>
      <c r="P39" s="6">
        <v>22</v>
      </c>
      <c r="Q39" s="6">
        <v>0</v>
      </c>
      <c r="R39" s="6">
        <v>2229</v>
      </c>
      <c r="S39" s="6">
        <v>2190</v>
      </c>
      <c r="T39" s="6" t="s">
        <v>863</v>
      </c>
      <c r="U39" s="6" t="s">
        <v>863</v>
      </c>
    </row>
    <row r="40" spans="1:21">
      <c r="A40" t="s">
        <v>78</v>
      </c>
      <c r="B40" t="s">
        <v>51</v>
      </c>
      <c r="C40" t="s">
        <v>79</v>
      </c>
      <c r="D40" s="6" t="s">
        <v>1390</v>
      </c>
      <c r="E40" s="6" t="s">
        <v>1849</v>
      </c>
      <c r="F40" s="6" t="s">
        <v>80</v>
      </c>
      <c r="G40" s="6" t="s">
        <v>713</v>
      </c>
      <c r="H40" s="6" t="s">
        <v>12</v>
      </c>
      <c r="I40" s="6" t="s">
        <v>10</v>
      </c>
      <c r="J40" s="6">
        <v>6187156</v>
      </c>
      <c r="K40" s="6">
        <v>154</v>
      </c>
      <c r="L40" s="6">
        <v>93037</v>
      </c>
      <c r="M40" s="6" t="s">
        <v>544</v>
      </c>
      <c r="N40" s="6">
        <v>6165</v>
      </c>
      <c r="O40" s="6">
        <v>52</v>
      </c>
      <c r="P40" s="6">
        <v>0</v>
      </c>
      <c r="Q40" s="6">
        <v>0</v>
      </c>
      <c r="R40" s="6">
        <v>2396</v>
      </c>
      <c r="S40" s="6">
        <v>2510</v>
      </c>
      <c r="T40" s="6" t="s">
        <v>863</v>
      </c>
      <c r="U40" s="6" t="s">
        <v>863</v>
      </c>
    </row>
    <row r="41" spans="1:21">
      <c r="A41" t="s">
        <v>251</v>
      </c>
      <c r="B41" t="s">
        <v>252</v>
      </c>
      <c r="C41" t="s">
        <v>253</v>
      </c>
      <c r="D41" s="6" t="s">
        <v>1428</v>
      </c>
      <c r="E41" s="6" t="s">
        <v>1850</v>
      </c>
      <c r="F41" s="6" t="s">
        <v>254</v>
      </c>
      <c r="G41" s="6" t="s">
        <v>740</v>
      </c>
      <c r="H41" s="6" t="s">
        <v>12</v>
      </c>
      <c r="I41" s="6" t="s">
        <v>10</v>
      </c>
      <c r="J41" s="6">
        <v>3342556</v>
      </c>
      <c r="K41" s="6">
        <v>107</v>
      </c>
      <c r="L41" s="6">
        <v>57950</v>
      </c>
      <c r="M41" s="6" t="s">
        <v>597</v>
      </c>
      <c r="N41" s="6">
        <v>3677</v>
      </c>
      <c r="O41" s="6">
        <v>49</v>
      </c>
      <c r="P41" s="6">
        <v>0</v>
      </c>
      <c r="Q41" s="6">
        <v>0</v>
      </c>
      <c r="R41" s="6">
        <v>1808</v>
      </c>
      <c r="S41" s="6">
        <v>1570</v>
      </c>
      <c r="T41" s="6" t="s">
        <v>863</v>
      </c>
      <c r="U41" s="6" t="s">
        <v>863</v>
      </c>
    </row>
    <row r="42" spans="1:21">
      <c r="A42" t="s">
        <v>173</v>
      </c>
      <c r="B42" t="s">
        <v>164</v>
      </c>
      <c r="C42" t="s">
        <v>174</v>
      </c>
      <c r="D42" s="6" t="s">
        <v>1406</v>
      </c>
      <c r="E42" s="6" t="s">
        <v>1851</v>
      </c>
      <c r="F42" s="6" t="s">
        <v>175</v>
      </c>
      <c r="G42" s="6" t="s">
        <v>739</v>
      </c>
      <c r="H42" s="6" t="s">
        <v>12</v>
      </c>
      <c r="I42" s="6" t="s">
        <v>10</v>
      </c>
      <c r="J42" s="6">
        <v>2746153</v>
      </c>
      <c r="K42" s="6">
        <v>22</v>
      </c>
      <c r="L42" s="6">
        <v>817445</v>
      </c>
      <c r="M42" s="6" t="s">
        <v>571</v>
      </c>
      <c r="N42" s="6">
        <v>2469</v>
      </c>
      <c r="O42" s="6">
        <v>49</v>
      </c>
      <c r="P42" s="6">
        <v>0</v>
      </c>
      <c r="Q42" s="6">
        <v>22</v>
      </c>
      <c r="R42" s="6">
        <v>1535</v>
      </c>
      <c r="S42" s="6">
        <v>803</v>
      </c>
      <c r="T42" s="6" t="s">
        <v>863</v>
      </c>
      <c r="U42" s="6" t="s">
        <v>863</v>
      </c>
    </row>
    <row r="43" spans="1:21">
      <c r="A43" t="s">
        <v>124</v>
      </c>
      <c r="B43" t="s">
        <v>94</v>
      </c>
      <c r="C43" t="s">
        <v>125</v>
      </c>
      <c r="D43" s="6" t="s">
        <v>1436</v>
      </c>
      <c r="E43" s="6" t="s">
        <v>1852</v>
      </c>
      <c r="F43" s="6" t="s">
        <v>126</v>
      </c>
      <c r="G43" s="6" t="s">
        <v>728</v>
      </c>
      <c r="H43" s="6" t="s">
        <v>12</v>
      </c>
      <c r="I43" s="6" t="s">
        <v>10</v>
      </c>
      <c r="J43" s="6">
        <v>4674833</v>
      </c>
      <c r="K43" s="6">
        <v>31</v>
      </c>
      <c r="L43" s="6">
        <v>625205</v>
      </c>
      <c r="M43" s="6" t="s">
        <v>559</v>
      </c>
      <c r="N43" s="6">
        <v>4411</v>
      </c>
      <c r="O43" s="6">
        <v>51</v>
      </c>
      <c r="P43" s="6">
        <v>0</v>
      </c>
      <c r="Q43" s="6">
        <v>94</v>
      </c>
      <c r="R43" s="6">
        <v>2112</v>
      </c>
      <c r="S43" s="6">
        <v>1558</v>
      </c>
      <c r="T43" s="6" t="s">
        <v>863</v>
      </c>
      <c r="U43" s="6" t="s">
        <v>864</v>
      </c>
    </row>
    <row r="44" spans="1:21">
      <c r="A44" t="s">
        <v>93</v>
      </c>
      <c r="B44" t="s">
        <v>94</v>
      </c>
      <c r="C44" t="s">
        <v>95</v>
      </c>
      <c r="D44" s="6" t="s">
        <v>1396</v>
      </c>
      <c r="E44" s="6" t="s">
        <v>1853</v>
      </c>
      <c r="F44" s="6" t="s">
        <v>96</v>
      </c>
      <c r="G44" s="6" t="s">
        <v>718</v>
      </c>
      <c r="H44" s="6" t="s">
        <v>12</v>
      </c>
      <c r="I44" s="6" t="s">
        <v>10</v>
      </c>
      <c r="J44" s="6">
        <v>3393920</v>
      </c>
      <c r="K44" s="6">
        <v>6</v>
      </c>
      <c r="L44" s="6">
        <v>2900221</v>
      </c>
      <c r="M44" s="6" t="s">
        <v>549</v>
      </c>
      <c r="N44" s="6">
        <v>3249</v>
      </c>
      <c r="O44" s="6">
        <v>72</v>
      </c>
      <c r="P44" s="6">
        <v>144</v>
      </c>
      <c r="Q44" s="6">
        <v>0</v>
      </c>
      <c r="R44" s="6">
        <v>1559</v>
      </c>
      <c r="S44" s="6">
        <v>1263</v>
      </c>
      <c r="T44" s="6" t="s">
        <v>863</v>
      </c>
      <c r="U44" s="6" t="s">
        <v>863</v>
      </c>
    </row>
    <row r="45" spans="1:21">
      <c r="A45" t="s">
        <v>66</v>
      </c>
      <c r="B45" t="s">
        <v>51</v>
      </c>
      <c r="C45" t="s">
        <v>67</v>
      </c>
      <c r="D45" s="6" t="s">
        <v>1391</v>
      </c>
      <c r="E45" s="6" t="s">
        <v>1854</v>
      </c>
      <c r="F45" s="6" t="s">
        <v>68</v>
      </c>
      <c r="G45" s="6" t="s">
        <v>709</v>
      </c>
      <c r="H45" s="6" t="s">
        <v>12</v>
      </c>
      <c r="I45" s="6" t="s">
        <v>10</v>
      </c>
      <c r="J45" s="6">
        <v>6029549</v>
      </c>
      <c r="K45" s="6">
        <v>168</v>
      </c>
      <c r="L45" s="6">
        <v>123650</v>
      </c>
      <c r="M45" s="6" t="s">
        <v>540</v>
      </c>
      <c r="N45" s="6">
        <v>6227</v>
      </c>
      <c r="O45" s="6">
        <v>52</v>
      </c>
      <c r="P45" s="6">
        <v>0</v>
      </c>
      <c r="Q45" s="6">
        <v>0</v>
      </c>
      <c r="R45" s="6">
        <v>2339</v>
      </c>
      <c r="S45" s="6">
        <v>2815</v>
      </c>
      <c r="T45" s="6" t="s">
        <v>863</v>
      </c>
      <c r="U45" s="6" t="s">
        <v>863</v>
      </c>
    </row>
    <row r="46" spans="1:21">
      <c r="A46" t="s">
        <v>57</v>
      </c>
      <c r="B46" t="s">
        <v>51</v>
      </c>
      <c r="C46" t="s">
        <v>58</v>
      </c>
      <c r="D46" s="6" t="s">
        <v>1392</v>
      </c>
      <c r="E46" s="6" t="s">
        <v>1855</v>
      </c>
      <c r="F46" s="6" t="s">
        <v>59</v>
      </c>
      <c r="G46" s="6" t="s">
        <v>706</v>
      </c>
      <c r="H46" s="6" t="s">
        <v>12</v>
      </c>
      <c r="I46" s="6" t="s">
        <v>10</v>
      </c>
      <c r="J46" s="6">
        <v>6232162</v>
      </c>
      <c r="K46" s="6">
        <v>151</v>
      </c>
      <c r="L46" s="6">
        <v>176200</v>
      </c>
      <c r="M46" s="6" t="s">
        <v>537</v>
      </c>
      <c r="N46" s="6">
        <v>6355</v>
      </c>
      <c r="O46" s="6">
        <v>47</v>
      </c>
      <c r="P46" s="6">
        <v>0</v>
      </c>
      <c r="Q46" s="6">
        <v>0</v>
      </c>
      <c r="R46" s="6">
        <v>2436</v>
      </c>
      <c r="S46" s="6">
        <v>2683</v>
      </c>
      <c r="T46" s="6" t="s">
        <v>863</v>
      </c>
      <c r="U46" s="6" t="s">
        <v>863</v>
      </c>
    </row>
    <row r="47" spans="1:21">
      <c r="A47" t="s">
        <v>100</v>
      </c>
      <c r="B47" t="s">
        <v>94</v>
      </c>
      <c r="C47" t="s">
        <v>101</v>
      </c>
      <c r="D47" s="6" t="s">
        <v>1397</v>
      </c>
      <c r="E47" s="6" t="s">
        <v>1856</v>
      </c>
      <c r="F47" s="6" t="s">
        <v>102</v>
      </c>
      <c r="G47" s="6" t="s">
        <v>720</v>
      </c>
      <c r="H47" s="6" t="s">
        <v>12</v>
      </c>
      <c r="I47" s="6" t="s">
        <v>10</v>
      </c>
      <c r="J47" s="6">
        <v>4273165</v>
      </c>
      <c r="K47" s="6">
        <v>3</v>
      </c>
      <c r="L47" s="6">
        <v>3742103</v>
      </c>
      <c r="M47" s="6" t="s">
        <v>551</v>
      </c>
      <c r="N47" s="6">
        <v>4172</v>
      </c>
      <c r="O47" s="6">
        <v>69</v>
      </c>
      <c r="P47" s="6">
        <v>59</v>
      </c>
      <c r="Q47" s="6">
        <v>106</v>
      </c>
      <c r="R47" s="6">
        <v>1805</v>
      </c>
      <c r="S47" s="6">
        <v>1782</v>
      </c>
      <c r="T47" s="6" t="s">
        <v>863</v>
      </c>
      <c r="U47" s="6" t="s">
        <v>863</v>
      </c>
    </row>
    <row r="48" spans="1:21">
      <c r="A48" t="s">
        <v>339</v>
      </c>
      <c r="B48" t="s">
        <v>131</v>
      </c>
      <c r="C48" t="s">
        <v>332</v>
      </c>
      <c r="D48" s="6" t="s">
        <v>340</v>
      </c>
      <c r="E48" s="6" t="s">
        <v>1857</v>
      </c>
      <c r="F48" s="6" t="s">
        <v>341</v>
      </c>
      <c r="G48" s="6" t="s">
        <v>767</v>
      </c>
      <c r="H48" s="6" t="s">
        <v>324</v>
      </c>
      <c r="I48" s="6" t="s">
        <v>140</v>
      </c>
      <c r="J48" s="6">
        <v>3569941</v>
      </c>
      <c r="K48" s="6">
        <v>544</v>
      </c>
      <c r="L48" s="6">
        <v>8208</v>
      </c>
      <c r="M48" s="6" t="s">
        <v>624</v>
      </c>
      <c r="N48" s="6">
        <v>4043</v>
      </c>
      <c r="O48" s="6">
        <v>32</v>
      </c>
      <c r="P48" s="6">
        <v>0</v>
      </c>
      <c r="Q48" s="6">
        <v>0</v>
      </c>
      <c r="R48" s="6">
        <v>1701</v>
      </c>
      <c r="S48" s="6">
        <v>1780</v>
      </c>
      <c r="T48" s="6" t="s">
        <v>864</v>
      </c>
      <c r="U48" s="6" t="s">
        <v>864</v>
      </c>
    </row>
    <row r="49" spans="1:21">
      <c r="A49" t="s">
        <v>75</v>
      </c>
      <c r="B49" t="s">
        <v>51</v>
      </c>
      <c r="C49" t="s">
        <v>76</v>
      </c>
      <c r="D49" s="6" t="s">
        <v>1385</v>
      </c>
      <c r="E49" s="6" t="s">
        <v>1858</v>
      </c>
      <c r="F49" s="6" t="s">
        <v>77</v>
      </c>
      <c r="G49" s="6" t="s">
        <v>712</v>
      </c>
      <c r="H49" s="6" t="s">
        <v>12</v>
      </c>
      <c r="I49" s="6" t="s">
        <v>10</v>
      </c>
      <c r="J49" s="6">
        <v>5279103</v>
      </c>
      <c r="K49" s="6">
        <v>21</v>
      </c>
      <c r="L49" s="6">
        <v>568074</v>
      </c>
      <c r="M49" s="6" t="s">
        <v>543</v>
      </c>
      <c r="N49" s="6">
        <v>5130</v>
      </c>
      <c r="O49" s="6">
        <v>51</v>
      </c>
      <c r="P49" s="6">
        <v>0</v>
      </c>
      <c r="Q49" s="6">
        <v>0</v>
      </c>
      <c r="R49" s="6">
        <v>2235</v>
      </c>
      <c r="S49" s="6">
        <v>1882</v>
      </c>
      <c r="T49" s="6" t="s">
        <v>863</v>
      </c>
      <c r="U49" s="6" t="s">
        <v>863</v>
      </c>
    </row>
    <row r="50" spans="1:21">
      <c r="A50" t="s">
        <v>60</v>
      </c>
      <c r="B50" t="s">
        <v>51</v>
      </c>
      <c r="C50" t="s">
        <v>61</v>
      </c>
      <c r="D50" s="6" t="s">
        <v>1386</v>
      </c>
      <c r="E50" s="6" t="s">
        <v>1859</v>
      </c>
      <c r="F50" s="6" t="s">
        <v>62</v>
      </c>
      <c r="G50" s="6" t="s">
        <v>707</v>
      </c>
      <c r="H50" s="6" t="s">
        <v>12</v>
      </c>
      <c r="I50" s="6" t="s">
        <v>10</v>
      </c>
      <c r="J50" s="6">
        <v>5918613</v>
      </c>
      <c r="K50" s="6">
        <v>25</v>
      </c>
      <c r="L50" s="6">
        <v>399699</v>
      </c>
      <c r="M50" s="6" t="s">
        <v>538</v>
      </c>
      <c r="N50" s="6">
        <v>5755</v>
      </c>
      <c r="O50" s="6">
        <v>67</v>
      </c>
      <c r="P50" s="6">
        <v>0</v>
      </c>
      <c r="Q50" s="6">
        <v>0</v>
      </c>
      <c r="R50" s="6">
        <v>2338</v>
      </c>
      <c r="S50" s="6">
        <v>2257</v>
      </c>
      <c r="T50" s="6" t="s">
        <v>863</v>
      </c>
      <c r="U50" s="6" t="s">
        <v>863</v>
      </c>
    </row>
    <row r="51" spans="1:21">
      <c r="A51" t="s">
        <v>63</v>
      </c>
      <c r="B51" t="s">
        <v>51</v>
      </c>
      <c r="C51" t="s">
        <v>64</v>
      </c>
      <c r="D51" s="6" t="s">
        <v>1444</v>
      </c>
      <c r="E51" s="6" t="s">
        <v>1860</v>
      </c>
      <c r="F51" s="6" t="s">
        <v>65</v>
      </c>
      <c r="G51" s="6" t="s">
        <v>708</v>
      </c>
      <c r="H51" s="6" t="s">
        <v>12</v>
      </c>
      <c r="I51" s="6" t="s">
        <v>10</v>
      </c>
      <c r="J51" s="6">
        <v>6128076</v>
      </c>
      <c r="K51" s="6">
        <v>24</v>
      </c>
      <c r="L51" s="6">
        <v>569462</v>
      </c>
      <c r="M51" s="6" t="s">
        <v>539</v>
      </c>
      <c r="N51" s="6">
        <v>6097</v>
      </c>
      <c r="O51" s="6">
        <v>50</v>
      </c>
      <c r="P51" s="6">
        <v>0</v>
      </c>
      <c r="Q51" s="6">
        <v>0</v>
      </c>
      <c r="R51" s="6">
        <v>2437</v>
      </c>
      <c r="S51" s="6">
        <v>2351</v>
      </c>
      <c r="T51" s="6" t="s">
        <v>863</v>
      </c>
      <c r="U51" s="6" t="s">
        <v>864</v>
      </c>
    </row>
    <row r="52" spans="1:21">
      <c r="A52" t="s">
        <v>84</v>
      </c>
      <c r="B52" t="s">
        <v>51</v>
      </c>
      <c r="C52" t="s">
        <v>85</v>
      </c>
      <c r="D52" s="6" t="s">
        <v>1387</v>
      </c>
      <c r="E52" s="6" t="s">
        <v>1861</v>
      </c>
      <c r="F52" s="6" t="s">
        <v>86</v>
      </c>
      <c r="G52" s="6" t="s">
        <v>715</v>
      </c>
      <c r="H52" s="6" t="s">
        <v>12</v>
      </c>
      <c r="I52" s="6" t="s">
        <v>10</v>
      </c>
      <c r="J52" s="6">
        <v>5369373</v>
      </c>
      <c r="K52" s="6">
        <v>34</v>
      </c>
      <c r="L52" s="6">
        <v>257505</v>
      </c>
      <c r="M52" s="6" t="s">
        <v>546</v>
      </c>
      <c r="N52" s="6">
        <v>5277</v>
      </c>
      <c r="O52" s="6">
        <v>49</v>
      </c>
      <c r="P52" s="6">
        <v>0</v>
      </c>
      <c r="Q52" s="6">
        <v>0</v>
      </c>
      <c r="R52" s="6">
        <v>2276</v>
      </c>
      <c r="S52" s="6">
        <v>1991</v>
      </c>
      <c r="T52" s="6" t="s">
        <v>863</v>
      </c>
      <c r="U52" s="6" t="s">
        <v>863</v>
      </c>
    </row>
    <row r="53" spans="1:21">
      <c r="A53" t="s">
        <v>19</v>
      </c>
      <c r="B53" t="s">
        <v>20</v>
      </c>
      <c r="C53" t="s">
        <v>21</v>
      </c>
      <c r="D53" s="6" t="s">
        <v>1378</v>
      </c>
      <c r="E53" s="6" t="s">
        <v>1862</v>
      </c>
      <c r="F53" s="6" t="s">
        <v>22</v>
      </c>
      <c r="G53" s="6" t="s">
        <v>694</v>
      </c>
      <c r="H53" s="6" t="s">
        <v>12</v>
      </c>
      <c r="I53" s="6" t="s">
        <v>10</v>
      </c>
      <c r="J53" s="6">
        <v>4418616</v>
      </c>
      <c r="K53" s="6">
        <v>3</v>
      </c>
      <c r="L53" s="6">
        <v>4170153</v>
      </c>
      <c r="M53" s="6" t="s">
        <v>525</v>
      </c>
      <c r="N53" s="6">
        <v>4510</v>
      </c>
      <c r="O53" s="6">
        <v>58</v>
      </c>
      <c r="P53" s="6">
        <v>120</v>
      </c>
      <c r="Q53" s="6">
        <v>0</v>
      </c>
      <c r="R53" s="6">
        <v>1915</v>
      </c>
      <c r="S53" s="6">
        <v>2079</v>
      </c>
      <c r="T53" s="6" t="s">
        <v>863</v>
      </c>
      <c r="U53" s="6" t="s">
        <v>863</v>
      </c>
    </row>
    <row r="54" spans="1:21">
      <c r="A54" t="s">
        <v>44</v>
      </c>
      <c r="B54" t="s">
        <v>20</v>
      </c>
      <c r="C54" t="s">
        <v>45</v>
      </c>
      <c r="D54" s="6" t="s">
        <v>1431</v>
      </c>
      <c r="E54" s="6" t="s">
        <v>1863</v>
      </c>
      <c r="F54" s="6" t="s">
        <v>46</v>
      </c>
      <c r="G54" s="6" t="s">
        <v>702</v>
      </c>
      <c r="H54" s="6" t="s">
        <v>12</v>
      </c>
      <c r="I54" s="6" t="s">
        <v>10</v>
      </c>
      <c r="J54" s="6">
        <v>4235448</v>
      </c>
      <c r="K54" s="6">
        <v>1</v>
      </c>
      <c r="L54" s="6">
        <v>4235448</v>
      </c>
      <c r="M54" s="6" t="s">
        <v>533</v>
      </c>
      <c r="N54" s="6">
        <v>4216</v>
      </c>
      <c r="O54" s="6">
        <v>47</v>
      </c>
      <c r="P54" s="6">
        <v>23</v>
      </c>
      <c r="Q54" s="6">
        <v>0</v>
      </c>
      <c r="R54" s="6">
        <v>1911</v>
      </c>
      <c r="S54" s="6">
        <v>1947</v>
      </c>
      <c r="T54" s="6" t="s">
        <v>863</v>
      </c>
      <c r="U54" s="6" t="s">
        <v>863</v>
      </c>
    </row>
    <row r="55" spans="1:21">
      <c r="A55" t="s">
        <v>26</v>
      </c>
      <c r="B55" t="s">
        <v>20</v>
      </c>
      <c r="C55" t="s">
        <v>27</v>
      </c>
      <c r="D55" s="6" t="s">
        <v>1415</v>
      </c>
      <c r="E55" s="6" t="s">
        <v>1864</v>
      </c>
      <c r="F55" s="6" t="s">
        <v>28</v>
      </c>
      <c r="G55" s="6" t="s">
        <v>696</v>
      </c>
      <c r="H55" s="6" t="s">
        <v>12</v>
      </c>
      <c r="I55" s="6" t="s">
        <v>10</v>
      </c>
      <c r="J55" s="6">
        <v>4103433</v>
      </c>
      <c r="K55" s="6">
        <v>2</v>
      </c>
      <c r="L55" s="6">
        <v>3916740</v>
      </c>
      <c r="M55" s="6" t="s">
        <v>527</v>
      </c>
      <c r="N55" s="6">
        <v>4467</v>
      </c>
      <c r="O55" s="6">
        <v>51</v>
      </c>
      <c r="P55" s="6">
        <v>62</v>
      </c>
      <c r="Q55" s="6">
        <v>0</v>
      </c>
      <c r="R55" s="6">
        <v>1853</v>
      </c>
      <c r="S55" s="6">
        <v>2252</v>
      </c>
      <c r="T55" s="6" t="s">
        <v>863</v>
      </c>
      <c r="U55" s="6" t="s">
        <v>863</v>
      </c>
    </row>
    <row r="56" spans="1:21">
      <c r="A56" t="s">
        <v>23</v>
      </c>
      <c r="B56" t="s">
        <v>20</v>
      </c>
      <c r="C56" t="s">
        <v>24</v>
      </c>
      <c r="D56" s="6" t="s">
        <v>1379</v>
      </c>
      <c r="E56" s="6" t="s">
        <v>1865</v>
      </c>
      <c r="F56" s="6" t="s">
        <v>25</v>
      </c>
      <c r="G56" s="6" t="s">
        <v>695</v>
      </c>
      <c r="H56" s="6" t="s">
        <v>12</v>
      </c>
      <c r="I56" s="6" t="s">
        <v>10</v>
      </c>
      <c r="J56" s="6">
        <v>4320537</v>
      </c>
      <c r="K56" s="6">
        <v>57</v>
      </c>
      <c r="L56" s="6">
        <v>193954</v>
      </c>
      <c r="M56" s="6" t="s">
        <v>526</v>
      </c>
      <c r="N56" s="6">
        <v>4547</v>
      </c>
      <c r="O56" s="6">
        <v>45</v>
      </c>
      <c r="P56" s="6">
        <v>0</v>
      </c>
      <c r="Q56" s="6">
        <v>22</v>
      </c>
      <c r="R56" s="6">
        <v>1828</v>
      </c>
      <c r="S56" s="6">
        <v>2383</v>
      </c>
      <c r="T56" s="6" t="s">
        <v>863</v>
      </c>
      <c r="U56" s="6" t="s">
        <v>863</v>
      </c>
    </row>
    <row r="57" spans="1:21">
      <c r="A57" t="s">
        <v>29</v>
      </c>
      <c r="B57" t="s">
        <v>20</v>
      </c>
      <c r="C57" t="s">
        <v>30</v>
      </c>
      <c r="D57" s="6" t="s">
        <v>1418</v>
      </c>
      <c r="E57" s="6" t="s">
        <v>1866</v>
      </c>
      <c r="F57" s="6" t="s">
        <v>31</v>
      </c>
      <c r="G57" s="6" t="s">
        <v>697</v>
      </c>
      <c r="H57" s="6" t="s">
        <v>12</v>
      </c>
      <c r="I57" s="6" t="s">
        <v>10</v>
      </c>
      <c r="J57" s="6">
        <v>3971247</v>
      </c>
      <c r="K57" s="6">
        <v>34</v>
      </c>
      <c r="L57" s="6">
        <v>227045</v>
      </c>
      <c r="M57" s="6" t="s">
        <v>528</v>
      </c>
      <c r="N57" s="6">
        <v>4331</v>
      </c>
      <c r="O57" s="6">
        <v>48</v>
      </c>
      <c r="P57" s="6">
        <v>0</v>
      </c>
      <c r="Q57" s="6">
        <v>40</v>
      </c>
      <c r="R57" s="6">
        <v>1911</v>
      </c>
      <c r="S57" s="6">
        <v>2108</v>
      </c>
      <c r="T57" s="6" t="s">
        <v>863</v>
      </c>
      <c r="U57" s="6" t="s">
        <v>863</v>
      </c>
    </row>
    <row r="58" spans="1:21">
      <c r="A58" t="s">
        <v>47</v>
      </c>
      <c r="B58" t="s">
        <v>20</v>
      </c>
      <c r="C58" t="s">
        <v>48</v>
      </c>
      <c r="D58" s="6" t="s">
        <v>1434</v>
      </c>
      <c r="E58" s="6" t="s">
        <v>1867</v>
      </c>
      <c r="F58" s="6" t="s">
        <v>49</v>
      </c>
      <c r="G58" s="6" t="s">
        <v>703</v>
      </c>
      <c r="H58" s="6" t="s">
        <v>12</v>
      </c>
      <c r="I58" s="6" t="s">
        <v>10</v>
      </c>
      <c r="J58" s="6">
        <v>3298588</v>
      </c>
      <c r="K58" s="6">
        <v>1</v>
      </c>
      <c r="L58" s="6">
        <v>3298588</v>
      </c>
      <c r="M58" s="6" t="s">
        <v>534</v>
      </c>
      <c r="N58" s="6">
        <v>3336</v>
      </c>
      <c r="O58" s="6">
        <v>47</v>
      </c>
      <c r="P58" s="6">
        <v>14</v>
      </c>
      <c r="Q58" s="6">
        <v>0</v>
      </c>
      <c r="R58" s="6">
        <v>1688</v>
      </c>
      <c r="S58" s="6">
        <v>1397</v>
      </c>
      <c r="T58" s="6" t="s">
        <v>863</v>
      </c>
      <c r="U58" s="6" t="s">
        <v>863</v>
      </c>
    </row>
    <row r="59" spans="1:21">
      <c r="A59" t="s">
        <v>342</v>
      </c>
      <c r="B59" t="s">
        <v>131</v>
      </c>
      <c r="C59" t="s">
        <v>332</v>
      </c>
      <c r="D59" s="6" t="s">
        <v>343</v>
      </c>
      <c r="E59" s="6" t="s">
        <v>1868</v>
      </c>
      <c r="F59" s="6" t="s">
        <v>344</v>
      </c>
      <c r="G59" s="6" t="s">
        <v>768</v>
      </c>
      <c r="H59" s="6" t="s">
        <v>324</v>
      </c>
      <c r="I59" s="6" t="s">
        <v>140</v>
      </c>
      <c r="J59" s="6">
        <v>3319295</v>
      </c>
      <c r="K59" s="6">
        <v>827</v>
      </c>
      <c r="L59" s="6">
        <v>4235</v>
      </c>
      <c r="M59" s="6" t="s">
        <v>625</v>
      </c>
      <c r="N59" s="6">
        <v>3954</v>
      </c>
      <c r="O59" s="6">
        <v>23</v>
      </c>
      <c r="P59" s="6">
        <v>0</v>
      </c>
      <c r="Q59" s="6">
        <v>0</v>
      </c>
      <c r="R59" s="6">
        <v>1601</v>
      </c>
      <c r="S59" s="6">
        <v>1751</v>
      </c>
      <c r="T59" s="6" t="s">
        <v>864</v>
      </c>
      <c r="U59" s="6" t="s">
        <v>864</v>
      </c>
    </row>
    <row r="60" spans="1:21">
      <c r="A60" t="s">
        <v>41</v>
      </c>
      <c r="B60" t="s">
        <v>20</v>
      </c>
      <c r="C60" t="s">
        <v>42</v>
      </c>
      <c r="D60" s="6" t="s">
        <v>1420</v>
      </c>
      <c r="E60" s="6" t="s">
        <v>1869</v>
      </c>
      <c r="F60" s="6" t="s">
        <v>43</v>
      </c>
      <c r="G60" s="6" t="s">
        <v>701</v>
      </c>
      <c r="H60" s="6" t="s">
        <v>12</v>
      </c>
      <c r="I60" s="6" t="s">
        <v>10</v>
      </c>
      <c r="J60" s="6">
        <v>4422208</v>
      </c>
      <c r="K60" s="6">
        <v>3</v>
      </c>
      <c r="L60" s="6">
        <v>3909517</v>
      </c>
      <c r="M60" s="6" t="s">
        <v>532</v>
      </c>
      <c r="N60" s="6">
        <v>4666</v>
      </c>
      <c r="O60" s="6">
        <v>55</v>
      </c>
      <c r="P60" s="6">
        <v>124</v>
      </c>
      <c r="Q60" s="6">
        <v>0</v>
      </c>
      <c r="R60" s="6">
        <v>2139</v>
      </c>
      <c r="S60" s="6">
        <v>1956</v>
      </c>
      <c r="T60" s="6" t="s">
        <v>863</v>
      </c>
      <c r="U60" s="6" t="s">
        <v>863</v>
      </c>
    </row>
    <row r="61" spans="1:21">
      <c r="A61" t="s">
        <v>35</v>
      </c>
      <c r="B61" t="s">
        <v>20</v>
      </c>
      <c r="C61" t="s">
        <v>36</v>
      </c>
      <c r="D61" s="6" t="s">
        <v>1416</v>
      </c>
      <c r="E61" s="6" t="s">
        <v>1870</v>
      </c>
      <c r="F61" s="6" t="s">
        <v>37</v>
      </c>
      <c r="G61" s="6" t="s">
        <v>699</v>
      </c>
      <c r="H61" s="6" t="s">
        <v>12</v>
      </c>
      <c r="I61" s="6" t="s">
        <v>10</v>
      </c>
      <c r="J61" s="6">
        <v>4311716</v>
      </c>
      <c r="K61" s="6">
        <v>2</v>
      </c>
      <c r="L61" s="6">
        <v>4020733</v>
      </c>
      <c r="M61" s="6" t="s">
        <v>530</v>
      </c>
      <c r="N61" s="6">
        <v>4821</v>
      </c>
      <c r="O61" s="6">
        <v>49</v>
      </c>
      <c r="P61" s="6">
        <v>67</v>
      </c>
      <c r="Q61" s="6">
        <v>0</v>
      </c>
      <c r="R61" s="6">
        <v>1963</v>
      </c>
      <c r="S61" s="6">
        <v>2428</v>
      </c>
      <c r="T61" s="6" t="s">
        <v>863</v>
      </c>
      <c r="U61" s="6" t="s">
        <v>863</v>
      </c>
    </row>
    <row r="62" spans="1:21">
      <c r="A62" t="s">
        <v>127</v>
      </c>
      <c r="B62" t="s">
        <v>128</v>
      </c>
      <c r="C62" t="s">
        <v>10</v>
      </c>
      <c r="D62" s="6" t="s">
        <v>1002</v>
      </c>
      <c r="E62" s="6" t="s">
        <v>1811</v>
      </c>
      <c r="F62" s="6" t="s">
        <v>129</v>
      </c>
      <c r="G62" s="6" t="s">
        <v>729</v>
      </c>
      <c r="H62" s="6" t="s">
        <v>324</v>
      </c>
      <c r="I62" s="6" t="s">
        <v>10</v>
      </c>
      <c r="J62" s="6">
        <v>3794683</v>
      </c>
      <c r="K62" s="6">
        <v>60</v>
      </c>
      <c r="L62" s="6">
        <v>130508</v>
      </c>
      <c r="M62" s="6" t="s">
        <v>560</v>
      </c>
      <c r="N62" s="6">
        <v>3823</v>
      </c>
      <c r="O62" s="6">
        <v>44</v>
      </c>
      <c r="P62" s="6">
        <v>0</v>
      </c>
      <c r="Q62" s="6">
        <v>0</v>
      </c>
      <c r="R62" s="6">
        <v>1911</v>
      </c>
      <c r="S62" s="6">
        <v>1420</v>
      </c>
      <c r="T62" s="6" t="s">
        <v>863</v>
      </c>
      <c r="U62" s="6" t="s">
        <v>863</v>
      </c>
    </row>
    <row r="63" spans="1:21">
      <c r="A63" t="s">
        <v>233</v>
      </c>
      <c r="B63" t="s">
        <v>164</v>
      </c>
      <c r="C63" t="s">
        <v>234</v>
      </c>
      <c r="D63" s="6" t="s">
        <v>1352</v>
      </c>
      <c r="E63" s="6" t="s">
        <v>1812</v>
      </c>
      <c r="F63" s="6" t="s">
        <v>235</v>
      </c>
      <c r="G63" s="6" t="s">
        <v>856</v>
      </c>
      <c r="H63" s="6" t="s">
        <v>12</v>
      </c>
      <c r="I63" s="6" t="s">
        <v>10</v>
      </c>
      <c r="J63" s="6">
        <v>7737025</v>
      </c>
      <c r="K63" s="6">
        <v>3</v>
      </c>
      <c r="L63" s="6">
        <v>7659055</v>
      </c>
      <c r="M63" s="6" t="s">
        <v>591</v>
      </c>
      <c r="N63" s="6">
        <v>8093</v>
      </c>
      <c r="O63" s="6">
        <v>81</v>
      </c>
      <c r="P63" s="6">
        <v>470</v>
      </c>
      <c r="Q63" s="6">
        <v>52</v>
      </c>
      <c r="R63" s="6">
        <v>3044</v>
      </c>
      <c r="S63" s="6">
        <v>3527</v>
      </c>
      <c r="T63" s="6" t="s">
        <v>863</v>
      </c>
      <c r="U63" s="6" t="s">
        <v>863</v>
      </c>
    </row>
    <row r="64" spans="1:21">
      <c r="A64" t="s">
        <v>203</v>
      </c>
      <c r="B64" t="s">
        <v>164</v>
      </c>
      <c r="C64" t="s">
        <v>204</v>
      </c>
      <c r="D64" s="6" t="s">
        <v>1353</v>
      </c>
      <c r="E64" s="6" t="s">
        <v>1813</v>
      </c>
      <c r="F64" s="6" t="s">
        <v>205</v>
      </c>
      <c r="G64" s="6" t="s">
        <v>846</v>
      </c>
      <c r="H64" s="6" t="s">
        <v>12</v>
      </c>
      <c r="I64" s="6" t="s">
        <v>10</v>
      </c>
      <c r="J64" s="6">
        <v>8839022</v>
      </c>
      <c r="K64" s="6">
        <v>8</v>
      </c>
      <c r="L64" s="6">
        <v>7772460</v>
      </c>
      <c r="M64" s="6" t="s">
        <v>581</v>
      </c>
      <c r="N64" s="6">
        <v>9908</v>
      </c>
      <c r="O64" s="6">
        <v>94</v>
      </c>
      <c r="P64" s="6">
        <v>901</v>
      </c>
      <c r="Q64" s="6">
        <v>180</v>
      </c>
      <c r="R64" s="6">
        <v>3116</v>
      </c>
      <c r="S64" s="6">
        <v>4837</v>
      </c>
      <c r="T64" s="6" t="s">
        <v>863</v>
      </c>
      <c r="U64" s="6" t="s">
        <v>863</v>
      </c>
    </row>
    <row r="65" spans="1:21">
      <c r="A65" t="s">
        <v>188</v>
      </c>
      <c r="B65" t="s">
        <v>164</v>
      </c>
      <c r="C65" t="s">
        <v>189</v>
      </c>
      <c r="D65" s="6" t="s">
        <v>1354</v>
      </c>
      <c r="E65" s="6" t="s">
        <v>1815</v>
      </c>
      <c r="F65" s="6" t="s">
        <v>190</v>
      </c>
      <c r="G65" s="6" t="s">
        <v>841</v>
      </c>
      <c r="H65" s="6" t="s">
        <v>12</v>
      </c>
      <c r="I65" s="6" t="s">
        <v>10</v>
      </c>
      <c r="J65" s="6">
        <v>6286629</v>
      </c>
      <c r="K65" s="6">
        <v>1</v>
      </c>
      <c r="L65" s="6">
        <v>6286629</v>
      </c>
      <c r="M65" s="6" t="s">
        <v>576</v>
      </c>
      <c r="N65" s="6">
        <v>6243</v>
      </c>
      <c r="O65" s="6">
        <v>65</v>
      </c>
      <c r="P65" s="6">
        <v>94</v>
      </c>
      <c r="Q65" s="6">
        <v>0</v>
      </c>
      <c r="R65" s="6">
        <v>2694</v>
      </c>
      <c r="S65" s="6">
        <v>2306</v>
      </c>
      <c r="T65" s="6" t="s">
        <v>863</v>
      </c>
      <c r="U65" s="6" t="s">
        <v>863</v>
      </c>
    </row>
    <row r="66" spans="1:21">
      <c r="A66" t="s">
        <v>221</v>
      </c>
      <c r="B66" t="s">
        <v>164</v>
      </c>
      <c r="C66" t="s">
        <v>222</v>
      </c>
      <c r="D66" s="6" t="s">
        <v>1361</v>
      </c>
      <c r="E66" s="6" t="s">
        <v>1816</v>
      </c>
      <c r="F66" s="6" t="s">
        <v>223</v>
      </c>
      <c r="G66" s="6" t="s">
        <v>852</v>
      </c>
      <c r="H66" s="6" t="s">
        <v>12</v>
      </c>
      <c r="I66" s="6" t="s">
        <v>10</v>
      </c>
      <c r="J66" s="6">
        <v>4645412</v>
      </c>
      <c r="K66" s="6">
        <v>14</v>
      </c>
      <c r="L66" s="6">
        <v>908384</v>
      </c>
      <c r="M66" s="6" t="s">
        <v>587</v>
      </c>
      <c r="N66" s="6">
        <v>4672</v>
      </c>
      <c r="O66" s="6">
        <v>50</v>
      </c>
      <c r="P66" s="6">
        <v>160</v>
      </c>
      <c r="Q66" s="6">
        <v>0</v>
      </c>
      <c r="R66" s="6">
        <v>2331</v>
      </c>
      <c r="S66" s="6">
        <v>1728</v>
      </c>
      <c r="T66" s="6" t="s">
        <v>863</v>
      </c>
      <c r="U66" s="6" t="s">
        <v>863</v>
      </c>
    </row>
    <row r="67" spans="1:21">
      <c r="A67" t="s">
        <v>218</v>
      </c>
      <c r="B67" t="s">
        <v>164</v>
      </c>
      <c r="C67" t="s">
        <v>219</v>
      </c>
      <c r="D67" s="6" t="s">
        <v>1362</v>
      </c>
      <c r="E67" s="6" t="s">
        <v>1817</v>
      </c>
      <c r="F67" s="6" t="s">
        <v>220</v>
      </c>
      <c r="G67" s="6" t="s">
        <v>851</v>
      </c>
      <c r="H67" s="6" t="s">
        <v>12</v>
      </c>
      <c r="I67" s="6" t="s">
        <v>10</v>
      </c>
      <c r="J67" s="6">
        <v>5320575</v>
      </c>
      <c r="K67" s="6">
        <v>40</v>
      </c>
      <c r="L67" s="6">
        <v>626185</v>
      </c>
      <c r="M67" s="6" t="s">
        <v>586</v>
      </c>
      <c r="N67" s="6">
        <v>5377</v>
      </c>
      <c r="O67" s="6">
        <v>51</v>
      </c>
      <c r="P67" s="6">
        <v>139</v>
      </c>
      <c r="Q67" s="6">
        <v>0</v>
      </c>
      <c r="R67" s="6">
        <v>2416</v>
      </c>
      <c r="S67" s="6">
        <v>2133</v>
      </c>
      <c r="T67" s="6" t="s">
        <v>863</v>
      </c>
      <c r="U67" s="6" t="s">
        <v>863</v>
      </c>
    </row>
    <row r="68" spans="1:21">
      <c r="A68" t="s">
        <v>227</v>
      </c>
      <c r="B68" t="s">
        <v>164</v>
      </c>
      <c r="C68" t="s">
        <v>228</v>
      </c>
      <c r="D68" s="6" t="s">
        <v>1363</v>
      </c>
      <c r="E68" s="6" t="s">
        <v>1818</v>
      </c>
      <c r="F68" s="6" t="s">
        <v>229</v>
      </c>
      <c r="G68" s="6" t="s">
        <v>854</v>
      </c>
      <c r="H68" s="6" t="s">
        <v>12</v>
      </c>
      <c r="I68" s="6" t="s">
        <v>10</v>
      </c>
      <c r="J68" s="6">
        <v>4456718</v>
      </c>
      <c r="K68" s="6">
        <v>35</v>
      </c>
      <c r="L68" s="6">
        <v>360287</v>
      </c>
      <c r="M68" s="6" t="s">
        <v>589</v>
      </c>
      <c r="N68" s="6">
        <v>4361</v>
      </c>
      <c r="O68" s="6">
        <v>48</v>
      </c>
      <c r="P68" s="6">
        <v>147</v>
      </c>
      <c r="Q68" s="6">
        <v>10</v>
      </c>
      <c r="R68" s="6">
        <v>2271</v>
      </c>
      <c r="S68" s="6">
        <v>1603</v>
      </c>
      <c r="T68" s="6" t="s">
        <v>863</v>
      </c>
      <c r="U68" s="6" t="s">
        <v>863</v>
      </c>
    </row>
    <row r="69" spans="1:21">
      <c r="A69" t="s">
        <v>185</v>
      </c>
      <c r="B69" t="s">
        <v>164</v>
      </c>
      <c r="C69" t="s">
        <v>186</v>
      </c>
      <c r="D69" s="6" t="s">
        <v>1357</v>
      </c>
      <c r="E69" s="6" t="s">
        <v>1819</v>
      </c>
      <c r="F69" s="6" t="s">
        <v>187</v>
      </c>
      <c r="G69" s="6" t="s">
        <v>840</v>
      </c>
      <c r="H69" s="6" t="s">
        <v>12</v>
      </c>
      <c r="I69" s="6" t="s">
        <v>10</v>
      </c>
      <c r="J69" s="6">
        <v>6788375</v>
      </c>
      <c r="K69" s="6">
        <v>1</v>
      </c>
      <c r="L69" s="6">
        <v>6788375</v>
      </c>
      <c r="M69" s="6" t="s">
        <v>575</v>
      </c>
      <c r="N69" s="6">
        <v>7614</v>
      </c>
      <c r="O69" s="6">
        <v>64</v>
      </c>
      <c r="P69" s="6">
        <v>343</v>
      </c>
      <c r="Q69" s="6">
        <v>0</v>
      </c>
      <c r="R69" s="6">
        <v>2545</v>
      </c>
      <c r="S69" s="6">
        <v>3581</v>
      </c>
      <c r="T69" s="6" t="s">
        <v>863</v>
      </c>
      <c r="U69" s="6" t="s">
        <v>863</v>
      </c>
    </row>
    <row r="70" spans="1:21">
      <c r="A70" t="s">
        <v>345</v>
      </c>
      <c r="B70" t="s">
        <v>131</v>
      </c>
      <c r="C70" t="s">
        <v>332</v>
      </c>
      <c r="D70" s="6" t="s">
        <v>346</v>
      </c>
      <c r="E70" s="6" t="s">
        <v>1871</v>
      </c>
      <c r="F70" s="6" t="s">
        <v>347</v>
      </c>
      <c r="G70" s="6" t="s">
        <v>769</v>
      </c>
      <c r="H70" s="6" t="s">
        <v>324</v>
      </c>
      <c r="I70" s="6" t="s">
        <v>140</v>
      </c>
      <c r="J70" s="6">
        <v>4886668</v>
      </c>
      <c r="K70" s="6">
        <v>179</v>
      </c>
      <c r="L70" s="6">
        <v>41891</v>
      </c>
      <c r="M70" s="6" t="s">
        <v>626</v>
      </c>
      <c r="N70" s="6">
        <v>5106</v>
      </c>
      <c r="O70" s="6">
        <v>38</v>
      </c>
      <c r="P70" s="6">
        <v>0</v>
      </c>
      <c r="Q70" s="6">
        <v>0</v>
      </c>
      <c r="R70" s="6">
        <v>1929</v>
      </c>
      <c r="S70" s="6">
        <v>2454</v>
      </c>
      <c r="T70" s="6" t="s">
        <v>864</v>
      </c>
      <c r="U70" s="6" t="s">
        <v>864</v>
      </c>
    </row>
    <row r="71" spans="1:21">
      <c r="A71" t="s">
        <v>212</v>
      </c>
      <c r="B71" t="s">
        <v>164</v>
      </c>
      <c r="C71" t="s">
        <v>213</v>
      </c>
      <c r="D71" s="6" t="s">
        <v>1358</v>
      </c>
      <c r="E71" s="6" t="s">
        <v>1820</v>
      </c>
      <c r="F71" s="6" t="s">
        <v>214</v>
      </c>
      <c r="G71" s="6" t="s">
        <v>849</v>
      </c>
      <c r="H71" s="6" t="s">
        <v>12</v>
      </c>
      <c r="I71" s="6" t="s">
        <v>10</v>
      </c>
      <c r="J71" s="6">
        <v>5539695</v>
      </c>
      <c r="K71" s="6">
        <v>1</v>
      </c>
      <c r="L71" s="6">
        <v>5539695</v>
      </c>
      <c r="M71" s="6" t="s">
        <v>584</v>
      </c>
      <c r="N71" s="6">
        <v>5497</v>
      </c>
      <c r="O71" s="6">
        <v>73</v>
      </c>
      <c r="P71" s="6">
        <v>77</v>
      </c>
      <c r="Q71" s="6">
        <v>0</v>
      </c>
      <c r="R71" s="6">
        <v>2535</v>
      </c>
      <c r="S71" s="6">
        <v>2070</v>
      </c>
      <c r="T71" s="6" t="s">
        <v>863</v>
      </c>
      <c r="U71" s="6" t="s">
        <v>863</v>
      </c>
    </row>
    <row r="72" spans="1:21">
      <c r="A72" t="s">
        <v>230</v>
      </c>
      <c r="B72" t="s">
        <v>164</v>
      </c>
      <c r="C72" t="s">
        <v>231</v>
      </c>
      <c r="D72" s="6" t="s">
        <v>1359</v>
      </c>
      <c r="E72" s="6" t="s">
        <v>1821</v>
      </c>
      <c r="F72" s="6" t="s">
        <v>232</v>
      </c>
      <c r="G72" s="6" t="s">
        <v>855</v>
      </c>
      <c r="H72" s="6" t="s">
        <v>12</v>
      </c>
      <c r="I72" s="6" t="s">
        <v>10</v>
      </c>
      <c r="J72" s="6">
        <v>6542583</v>
      </c>
      <c r="K72" s="6">
        <v>1</v>
      </c>
      <c r="L72" s="6">
        <v>6542583</v>
      </c>
      <c r="M72" s="6" t="s">
        <v>590</v>
      </c>
      <c r="N72" s="6">
        <v>6377</v>
      </c>
      <c r="O72" s="6">
        <v>112</v>
      </c>
      <c r="P72" s="6">
        <v>148</v>
      </c>
      <c r="Q72" s="6">
        <v>12</v>
      </c>
      <c r="R72" s="6">
        <v>2742</v>
      </c>
      <c r="S72" s="6">
        <v>2375</v>
      </c>
      <c r="T72" s="6" t="s">
        <v>863</v>
      </c>
      <c r="U72" s="6" t="s">
        <v>863</v>
      </c>
    </row>
    <row r="73" spans="1:21">
      <c r="A73" t="s">
        <v>209</v>
      </c>
      <c r="B73" t="s">
        <v>164</v>
      </c>
      <c r="C73" t="s">
        <v>210</v>
      </c>
      <c r="D73" s="6" t="s">
        <v>1365</v>
      </c>
      <c r="E73" s="6" t="s">
        <v>1822</v>
      </c>
      <c r="F73" s="6" t="s">
        <v>211</v>
      </c>
      <c r="G73" s="6" t="s">
        <v>848</v>
      </c>
      <c r="H73" s="6" t="s">
        <v>12</v>
      </c>
      <c r="I73" s="6" t="s">
        <v>10</v>
      </c>
      <c r="J73" s="6">
        <v>6327435</v>
      </c>
      <c r="K73" s="6">
        <v>203</v>
      </c>
      <c r="L73" s="6">
        <v>182711</v>
      </c>
      <c r="M73" s="6" t="s">
        <v>583</v>
      </c>
      <c r="N73" s="6">
        <v>6253</v>
      </c>
      <c r="O73" s="6">
        <v>50</v>
      </c>
      <c r="P73" s="6">
        <v>312</v>
      </c>
      <c r="Q73" s="6">
        <v>92</v>
      </c>
      <c r="R73" s="6">
        <v>2774</v>
      </c>
      <c r="S73" s="6">
        <v>2343</v>
      </c>
      <c r="T73" s="6" t="s">
        <v>863</v>
      </c>
      <c r="U73" s="6" t="s">
        <v>863</v>
      </c>
    </row>
    <row r="74" spans="1:21">
      <c r="A74" t="s">
        <v>215</v>
      </c>
      <c r="B74" t="s">
        <v>164</v>
      </c>
      <c r="C74" t="s">
        <v>216</v>
      </c>
      <c r="D74" s="6" t="s">
        <v>1350</v>
      </c>
      <c r="E74" s="6" t="s">
        <v>1823</v>
      </c>
      <c r="F74" s="6" t="s">
        <v>217</v>
      </c>
      <c r="G74" s="6" t="s">
        <v>850</v>
      </c>
      <c r="H74" s="6" t="s">
        <v>12</v>
      </c>
      <c r="I74" s="6" t="s">
        <v>10</v>
      </c>
      <c r="J74" s="6">
        <v>5183439</v>
      </c>
      <c r="K74" s="6">
        <v>258</v>
      </c>
      <c r="L74" s="6">
        <v>103303</v>
      </c>
      <c r="M74" s="6" t="s">
        <v>585</v>
      </c>
      <c r="N74" s="6">
        <v>5334</v>
      </c>
      <c r="O74" s="6">
        <v>49</v>
      </c>
      <c r="P74" s="6">
        <v>63</v>
      </c>
      <c r="Q74" s="6">
        <v>0</v>
      </c>
      <c r="R74" s="6">
        <v>2395</v>
      </c>
      <c r="S74" s="6">
        <v>2129</v>
      </c>
      <c r="T74" s="6" t="s">
        <v>863</v>
      </c>
      <c r="U74" s="6" t="s">
        <v>863</v>
      </c>
    </row>
    <row r="75" spans="1:21">
      <c r="A75" t="s">
        <v>245</v>
      </c>
      <c r="B75" t="s">
        <v>164</v>
      </c>
      <c r="C75" t="s">
        <v>246</v>
      </c>
      <c r="D75" s="6" t="s">
        <v>1355</v>
      </c>
      <c r="E75" s="6" t="s">
        <v>1824</v>
      </c>
      <c r="F75" s="6" t="s">
        <v>247</v>
      </c>
      <c r="G75" s="6" t="s">
        <v>860</v>
      </c>
      <c r="H75" s="6" t="s">
        <v>12</v>
      </c>
      <c r="I75" s="6" t="s">
        <v>10</v>
      </c>
      <c r="J75" s="6">
        <v>9631051</v>
      </c>
      <c r="K75" s="6">
        <v>6</v>
      </c>
      <c r="L75" s="6">
        <v>5843140</v>
      </c>
      <c r="M75" s="6" t="s">
        <v>595</v>
      </c>
      <c r="N75" s="6">
        <v>10380</v>
      </c>
      <c r="O75" s="6">
        <v>76</v>
      </c>
      <c r="P75" s="6">
        <v>828</v>
      </c>
      <c r="Q75" s="6">
        <v>0</v>
      </c>
      <c r="R75" s="6">
        <v>2865</v>
      </c>
      <c r="S75" s="6">
        <v>4734</v>
      </c>
      <c r="T75" s="6" t="s">
        <v>863</v>
      </c>
      <c r="U75" s="6" t="s">
        <v>863</v>
      </c>
    </row>
    <row r="76" spans="1:21">
      <c r="A76" t="s">
        <v>182</v>
      </c>
      <c r="B76" t="s">
        <v>164</v>
      </c>
      <c r="C76" t="s">
        <v>183</v>
      </c>
      <c r="D76" s="6" t="s">
        <v>1364</v>
      </c>
      <c r="E76" s="6" t="s">
        <v>1825</v>
      </c>
      <c r="F76" s="6" t="s">
        <v>184</v>
      </c>
      <c r="G76" s="6" t="s">
        <v>839</v>
      </c>
      <c r="H76" s="6" t="s">
        <v>12</v>
      </c>
      <c r="I76" s="6" t="s">
        <v>10</v>
      </c>
      <c r="J76" s="6">
        <v>7502080</v>
      </c>
      <c r="K76" s="6">
        <v>463</v>
      </c>
      <c r="L76" s="6">
        <v>33995</v>
      </c>
      <c r="M76" s="6" t="s">
        <v>574</v>
      </c>
      <c r="N76" s="6">
        <v>7842</v>
      </c>
      <c r="O76" s="6">
        <v>53</v>
      </c>
      <c r="P76" s="6">
        <v>111</v>
      </c>
      <c r="Q76" s="6">
        <v>34</v>
      </c>
      <c r="R76" s="6">
        <v>3018</v>
      </c>
      <c r="S76" s="6">
        <v>3058</v>
      </c>
      <c r="T76" s="6" t="s">
        <v>863</v>
      </c>
      <c r="U76" s="6" t="s">
        <v>864</v>
      </c>
    </row>
    <row r="77" spans="1:21">
      <c r="A77" t="s">
        <v>239</v>
      </c>
      <c r="B77" t="s">
        <v>164</v>
      </c>
      <c r="C77" t="s">
        <v>240</v>
      </c>
      <c r="D77" s="6" t="s">
        <v>1360</v>
      </c>
      <c r="E77" s="6" t="s">
        <v>1826</v>
      </c>
      <c r="F77" s="6" t="s">
        <v>241</v>
      </c>
      <c r="G77" s="6" t="s">
        <v>858</v>
      </c>
      <c r="H77" s="6" t="s">
        <v>12</v>
      </c>
      <c r="I77" s="6" t="s">
        <v>10</v>
      </c>
      <c r="J77" s="6">
        <v>5395646</v>
      </c>
      <c r="K77" s="6">
        <v>1</v>
      </c>
      <c r="L77" s="6">
        <v>5395646</v>
      </c>
      <c r="M77" s="6" t="s">
        <v>593</v>
      </c>
      <c r="N77" s="6">
        <v>5305</v>
      </c>
      <c r="O77" s="6">
        <v>68</v>
      </c>
      <c r="P77" s="6">
        <v>52</v>
      </c>
      <c r="Q77" s="6">
        <v>0</v>
      </c>
      <c r="R77" s="6">
        <v>2789</v>
      </c>
      <c r="S77" s="6">
        <v>1584</v>
      </c>
      <c r="T77" s="6" t="s">
        <v>863</v>
      </c>
      <c r="U77" s="6" t="s">
        <v>863</v>
      </c>
    </row>
    <row r="78" spans="1:21">
      <c r="A78" t="s">
        <v>167</v>
      </c>
      <c r="B78" t="s">
        <v>164</v>
      </c>
      <c r="C78" t="s">
        <v>168</v>
      </c>
      <c r="D78" s="6" t="s">
        <v>1366</v>
      </c>
      <c r="E78" s="6" t="s">
        <v>1827</v>
      </c>
      <c r="F78" s="6" t="s">
        <v>169</v>
      </c>
      <c r="G78" s="6" t="s">
        <v>835</v>
      </c>
      <c r="H78" s="6" t="s">
        <v>12</v>
      </c>
      <c r="I78" s="6" t="s">
        <v>10</v>
      </c>
      <c r="J78" s="6">
        <v>5166770</v>
      </c>
      <c r="K78" s="6">
        <v>20</v>
      </c>
      <c r="L78" s="6">
        <v>1032375</v>
      </c>
      <c r="M78" s="6" t="s">
        <v>570</v>
      </c>
      <c r="N78" s="6">
        <v>5158</v>
      </c>
      <c r="O78" s="6">
        <v>52</v>
      </c>
      <c r="P78" s="6">
        <v>47</v>
      </c>
      <c r="Q78" s="6">
        <v>0</v>
      </c>
      <c r="R78" s="6">
        <v>2334</v>
      </c>
      <c r="S78" s="6">
        <v>1874</v>
      </c>
      <c r="T78" s="6" t="s">
        <v>863</v>
      </c>
      <c r="U78" s="6" t="s">
        <v>863</v>
      </c>
    </row>
    <row r="79" spans="1:21">
      <c r="A79" t="s">
        <v>224</v>
      </c>
      <c r="B79" t="s">
        <v>164</v>
      </c>
      <c r="C79" t="s">
        <v>225</v>
      </c>
      <c r="D79" s="12" t="s">
        <v>1954</v>
      </c>
      <c r="E79" s="6" t="s">
        <v>1828</v>
      </c>
      <c r="F79" s="6" t="s">
        <v>226</v>
      </c>
      <c r="G79" s="6" t="s">
        <v>853</v>
      </c>
      <c r="H79" s="6" t="s">
        <v>12</v>
      </c>
      <c r="I79" s="6" t="s">
        <v>10</v>
      </c>
      <c r="J79" s="6">
        <v>4664957</v>
      </c>
      <c r="K79" s="6">
        <v>1</v>
      </c>
      <c r="L79" s="6">
        <v>4664957</v>
      </c>
      <c r="M79" s="6" t="s">
        <v>588</v>
      </c>
      <c r="N79" s="6">
        <v>4551</v>
      </c>
      <c r="O79" s="6">
        <v>62</v>
      </c>
      <c r="P79" s="6">
        <v>36</v>
      </c>
      <c r="Q79" s="6">
        <v>0</v>
      </c>
      <c r="R79" s="6">
        <v>2440</v>
      </c>
      <c r="S79" s="6">
        <v>1485</v>
      </c>
      <c r="T79" s="6" t="s">
        <v>863</v>
      </c>
      <c r="U79" s="6" t="s">
        <v>863</v>
      </c>
    </row>
    <row r="80" spans="1:21">
      <c r="A80" t="s">
        <v>248</v>
      </c>
      <c r="B80" t="s">
        <v>164</v>
      </c>
      <c r="C80" t="s">
        <v>249</v>
      </c>
      <c r="D80" s="6" t="s">
        <v>1356</v>
      </c>
      <c r="E80" s="6" t="s">
        <v>1829</v>
      </c>
      <c r="F80" s="6" t="s">
        <v>250</v>
      </c>
      <c r="G80" s="6" t="s">
        <v>834</v>
      </c>
      <c r="H80" s="6" t="s">
        <v>12</v>
      </c>
      <c r="I80" s="6" t="s">
        <v>10</v>
      </c>
      <c r="J80" s="6">
        <v>4403107</v>
      </c>
      <c r="K80" s="6">
        <v>1</v>
      </c>
      <c r="L80" s="6">
        <v>4403107</v>
      </c>
      <c r="M80" s="6" t="s">
        <v>596</v>
      </c>
      <c r="N80" s="6">
        <v>4299</v>
      </c>
      <c r="O80" s="6">
        <v>62</v>
      </c>
      <c r="P80" s="6">
        <v>64</v>
      </c>
      <c r="Q80" s="6">
        <v>0</v>
      </c>
      <c r="R80" s="6">
        <v>2261</v>
      </c>
      <c r="S80" s="6">
        <v>1291</v>
      </c>
      <c r="T80" s="6" t="s">
        <v>863</v>
      </c>
      <c r="U80" s="6" t="s">
        <v>863</v>
      </c>
    </row>
    <row r="81" spans="1:21">
      <c r="A81" t="s">
        <v>375</v>
      </c>
      <c r="B81" t="s">
        <v>131</v>
      </c>
      <c r="C81" t="s">
        <v>160</v>
      </c>
      <c r="D81" s="6" t="s">
        <v>376</v>
      </c>
      <c r="E81" s="6" t="s">
        <v>1872</v>
      </c>
      <c r="F81" s="6" t="s">
        <v>377</v>
      </c>
      <c r="G81" s="6" t="s">
        <v>779</v>
      </c>
      <c r="H81" s="6" t="s">
        <v>324</v>
      </c>
      <c r="I81" s="6" t="s">
        <v>140</v>
      </c>
      <c r="J81" s="6">
        <v>4535280</v>
      </c>
      <c r="K81" s="6">
        <v>286</v>
      </c>
      <c r="L81" s="6">
        <v>23550</v>
      </c>
      <c r="M81" s="6" t="s">
        <v>636</v>
      </c>
      <c r="N81" s="6">
        <v>4614</v>
      </c>
      <c r="O81" s="6">
        <v>37</v>
      </c>
      <c r="P81" s="6">
        <v>0</v>
      </c>
      <c r="Q81" s="6">
        <v>0</v>
      </c>
      <c r="R81" s="6">
        <v>1954</v>
      </c>
      <c r="S81" s="6">
        <v>2007</v>
      </c>
      <c r="T81" s="6" t="s">
        <v>864</v>
      </c>
      <c r="U81" s="6" t="s">
        <v>864</v>
      </c>
    </row>
    <row r="82" spans="1:21">
      <c r="A82" t="s">
        <v>176</v>
      </c>
      <c r="B82" t="s">
        <v>164</v>
      </c>
      <c r="C82" t="s">
        <v>177</v>
      </c>
      <c r="D82" s="6" t="s">
        <v>1351</v>
      </c>
      <c r="E82" s="6" t="s">
        <v>1830</v>
      </c>
      <c r="F82" s="6" t="s">
        <v>178</v>
      </c>
      <c r="G82" s="6" t="s">
        <v>837</v>
      </c>
      <c r="H82" s="6" t="s">
        <v>12</v>
      </c>
      <c r="I82" s="6" t="s">
        <v>10</v>
      </c>
      <c r="J82" s="6">
        <v>5409070</v>
      </c>
      <c r="K82" s="6">
        <v>29</v>
      </c>
      <c r="L82" s="6">
        <v>506666</v>
      </c>
      <c r="M82" s="6" t="s">
        <v>572</v>
      </c>
      <c r="N82" s="6">
        <v>5442</v>
      </c>
      <c r="O82" s="6">
        <v>46</v>
      </c>
      <c r="P82" s="6">
        <v>34</v>
      </c>
      <c r="Q82" s="6">
        <v>0</v>
      </c>
      <c r="R82" s="6">
        <v>2613</v>
      </c>
      <c r="S82" s="6">
        <v>1989</v>
      </c>
      <c r="T82" s="6" t="s">
        <v>863</v>
      </c>
      <c r="U82" s="6" t="s">
        <v>863</v>
      </c>
    </row>
    <row r="83" spans="1:21">
      <c r="A83" t="s">
        <v>170</v>
      </c>
      <c r="B83" t="s">
        <v>164</v>
      </c>
      <c r="C83" t="s">
        <v>171</v>
      </c>
      <c r="D83" s="6" t="s">
        <v>1022</v>
      </c>
      <c r="E83" s="6" t="s">
        <v>1831</v>
      </c>
      <c r="F83" s="6" t="s">
        <v>172</v>
      </c>
      <c r="G83" s="6" t="s">
        <v>836</v>
      </c>
      <c r="H83" s="6" t="s">
        <v>12</v>
      </c>
      <c r="I83" s="6" t="s">
        <v>10</v>
      </c>
      <c r="J83" s="6">
        <v>4652148</v>
      </c>
      <c r="K83" s="6">
        <v>10</v>
      </c>
      <c r="L83" s="6">
        <v>792945</v>
      </c>
      <c r="M83" s="6" t="s">
        <v>569</v>
      </c>
      <c r="N83" s="6">
        <v>4783</v>
      </c>
      <c r="O83" s="6">
        <v>48</v>
      </c>
      <c r="P83" s="6">
        <v>63</v>
      </c>
      <c r="Q83" s="6">
        <v>106</v>
      </c>
      <c r="R83" s="6">
        <v>2314</v>
      </c>
      <c r="S83" s="6">
        <v>1679</v>
      </c>
      <c r="T83" s="6" t="s">
        <v>863</v>
      </c>
      <c r="U83" s="6" t="s">
        <v>863</v>
      </c>
    </row>
    <row r="84" spans="1:21">
      <c r="A84" t="s">
        <v>179</v>
      </c>
      <c r="B84" t="s">
        <v>164</v>
      </c>
      <c r="C84" t="s">
        <v>180</v>
      </c>
      <c r="D84" s="6" t="s">
        <v>1447</v>
      </c>
      <c r="E84" s="6" t="s">
        <v>1465</v>
      </c>
      <c r="F84" s="6" t="s">
        <v>181</v>
      </c>
      <c r="G84" s="6" t="s">
        <v>838</v>
      </c>
      <c r="H84" s="6" t="s">
        <v>12</v>
      </c>
      <c r="I84" s="6" t="s">
        <v>10</v>
      </c>
      <c r="J84" s="6">
        <v>5388584</v>
      </c>
      <c r="K84" s="6">
        <v>150</v>
      </c>
      <c r="L84" s="6">
        <v>98709</v>
      </c>
      <c r="M84" s="6" t="s">
        <v>573</v>
      </c>
      <c r="N84" s="6">
        <v>5663</v>
      </c>
      <c r="O84" s="6">
        <v>49</v>
      </c>
      <c r="P84" s="6">
        <v>0</v>
      </c>
      <c r="Q84" s="6">
        <v>0</v>
      </c>
      <c r="R84" s="6">
        <v>2567</v>
      </c>
      <c r="S84" s="6">
        <v>2194</v>
      </c>
      <c r="T84" s="6" t="s">
        <v>863</v>
      </c>
      <c r="U84" s="6" t="s">
        <v>863</v>
      </c>
    </row>
    <row r="85" spans="1:21">
      <c r="A85" t="s">
        <v>191</v>
      </c>
      <c r="B85" t="s">
        <v>164</v>
      </c>
      <c r="C85" t="s">
        <v>192</v>
      </c>
      <c r="D85" s="6" t="s">
        <v>1448</v>
      </c>
      <c r="E85" s="6" t="s">
        <v>1454</v>
      </c>
      <c r="F85" s="6" t="s">
        <v>193</v>
      </c>
      <c r="G85" s="6" t="s">
        <v>842</v>
      </c>
      <c r="H85" s="6" t="s">
        <v>12</v>
      </c>
      <c r="I85" s="6" t="s">
        <v>10</v>
      </c>
      <c r="J85" s="6">
        <v>5495114</v>
      </c>
      <c r="K85" s="6">
        <v>175</v>
      </c>
      <c r="L85" s="6">
        <v>71746</v>
      </c>
      <c r="M85" s="6" t="s">
        <v>577</v>
      </c>
      <c r="N85" s="6">
        <v>6096</v>
      </c>
      <c r="O85" s="6">
        <v>51</v>
      </c>
      <c r="P85" s="6">
        <v>0</v>
      </c>
      <c r="Q85" s="6">
        <v>0</v>
      </c>
      <c r="R85" s="6">
        <v>2514</v>
      </c>
      <c r="S85" s="6">
        <v>2754</v>
      </c>
      <c r="T85" s="6" t="s">
        <v>863</v>
      </c>
      <c r="U85" s="6" t="s">
        <v>863</v>
      </c>
    </row>
    <row r="86" spans="1:21">
      <c r="A86" t="s">
        <v>194</v>
      </c>
      <c r="B86" t="s">
        <v>164</v>
      </c>
      <c r="C86" t="s">
        <v>195</v>
      </c>
      <c r="D86" s="6" t="s">
        <v>1449</v>
      </c>
      <c r="E86" s="6" t="s">
        <v>1458</v>
      </c>
      <c r="F86" s="6" t="s">
        <v>196</v>
      </c>
      <c r="G86" s="6" t="s">
        <v>843</v>
      </c>
      <c r="H86" s="6" t="s">
        <v>12</v>
      </c>
      <c r="I86" s="6" t="s">
        <v>10</v>
      </c>
      <c r="J86" s="6">
        <v>6971527</v>
      </c>
      <c r="K86" s="6">
        <v>167</v>
      </c>
      <c r="L86" s="6">
        <v>85536</v>
      </c>
      <c r="M86" s="6" t="s">
        <v>578</v>
      </c>
      <c r="N86" s="6">
        <v>7291</v>
      </c>
      <c r="O86" s="6">
        <v>49</v>
      </c>
      <c r="P86" s="6">
        <v>0</v>
      </c>
      <c r="Q86" s="6">
        <v>0</v>
      </c>
      <c r="R86" s="6">
        <v>3017</v>
      </c>
      <c r="S86" s="6">
        <v>2797</v>
      </c>
      <c r="T86" s="6" t="s">
        <v>863</v>
      </c>
      <c r="U86" s="6" t="s">
        <v>863</v>
      </c>
    </row>
    <row r="87" spans="1:21">
      <c r="A87" t="s">
        <v>197</v>
      </c>
      <c r="B87" t="s">
        <v>164</v>
      </c>
      <c r="C87" t="s">
        <v>198</v>
      </c>
      <c r="D87" s="6" t="s">
        <v>1450</v>
      </c>
      <c r="E87" s="6" t="s">
        <v>1466</v>
      </c>
      <c r="F87" s="6" t="s">
        <v>199</v>
      </c>
      <c r="G87" s="6" t="s">
        <v>844</v>
      </c>
      <c r="H87" s="6" t="s">
        <v>12</v>
      </c>
      <c r="I87" s="6" t="s">
        <v>10</v>
      </c>
      <c r="J87" s="6">
        <v>4459488</v>
      </c>
      <c r="K87" s="6">
        <v>112</v>
      </c>
      <c r="L87" s="6">
        <v>64725</v>
      </c>
      <c r="M87" s="6" t="s">
        <v>579</v>
      </c>
      <c r="N87" s="6">
        <v>4531</v>
      </c>
      <c r="O87" s="6">
        <v>51</v>
      </c>
      <c r="P87" s="6">
        <v>0</v>
      </c>
      <c r="Q87" s="6">
        <v>0</v>
      </c>
      <c r="R87" s="6">
        <v>2311</v>
      </c>
      <c r="S87" s="6">
        <v>1695</v>
      </c>
      <c r="T87" s="6" t="s">
        <v>863</v>
      </c>
      <c r="U87" s="6" t="s">
        <v>863</v>
      </c>
    </row>
    <row r="88" spans="1:21">
      <c r="A88" t="s">
        <v>200</v>
      </c>
      <c r="B88" t="s">
        <v>164</v>
      </c>
      <c r="C88" t="s">
        <v>201</v>
      </c>
      <c r="D88" s="6" t="s">
        <v>1464</v>
      </c>
      <c r="E88" s="6" t="s">
        <v>1467</v>
      </c>
      <c r="F88" s="6" t="s">
        <v>202</v>
      </c>
      <c r="G88" s="6" t="s">
        <v>845</v>
      </c>
      <c r="H88" s="6" t="s">
        <v>12</v>
      </c>
      <c r="I88" s="6" t="s">
        <v>10</v>
      </c>
      <c r="J88" s="6">
        <v>5502493</v>
      </c>
      <c r="K88" s="6">
        <v>46</v>
      </c>
      <c r="L88" s="6">
        <v>251431</v>
      </c>
      <c r="M88" s="6" t="s">
        <v>580</v>
      </c>
      <c r="N88" s="6">
        <v>5519</v>
      </c>
      <c r="O88" s="6">
        <v>54</v>
      </c>
      <c r="P88" s="6">
        <v>0</v>
      </c>
      <c r="Q88" s="6">
        <v>0</v>
      </c>
      <c r="R88" s="6">
        <v>2606</v>
      </c>
      <c r="S88" s="6">
        <v>1929</v>
      </c>
      <c r="T88" s="6" t="s">
        <v>863</v>
      </c>
      <c r="U88" s="6" t="s">
        <v>863</v>
      </c>
    </row>
    <row r="89" spans="1:21">
      <c r="A89" t="s">
        <v>206</v>
      </c>
      <c r="B89" t="s">
        <v>164</v>
      </c>
      <c r="C89" t="s">
        <v>207</v>
      </c>
      <c r="D89" s="6" t="s">
        <v>1451</v>
      </c>
      <c r="E89" s="6" t="s">
        <v>1468</v>
      </c>
      <c r="F89" s="6" t="s">
        <v>208</v>
      </c>
      <c r="G89" s="6" t="s">
        <v>847</v>
      </c>
      <c r="H89" s="6" t="s">
        <v>12</v>
      </c>
      <c r="I89" s="6" t="s">
        <v>10</v>
      </c>
      <c r="J89" s="6">
        <v>5070401</v>
      </c>
      <c r="K89" s="6">
        <v>114</v>
      </c>
      <c r="L89" s="6">
        <v>350043</v>
      </c>
      <c r="M89" s="6" t="s">
        <v>582</v>
      </c>
      <c r="N89" s="6">
        <v>5049</v>
      </c>
      <c r="O89" s="6">
        <v>53</v>
      </c>
      <c r="P89" s="6">
        <v>0</v>
      </c>
      <c r="Q89" s="6">
        <v>0</v>
      </c>
      <c r="R89" s="6">
        <v>2569</v>
      </c>
      <c r="S89" s="6">
        <v>1710</v>
      </c>
      <c r="T89" s="6" t="s">
        <v>863</v>
      </c>
      <c r="U89" s="6" t="s">
        <v>863</v>
      </c>
    </row>
    <row r="90" spans="1:21">
      <c r="A90" t="s">
        <v>242</v>
      </c>
      <c r="B90" t="s">
        <v>164</v>
      </c>
      <c r="C90" t="s">
        <v>243</v>
      </c>
      <c r="D90" s="6" t="s">
        <v>1452</v>
      </c>
      <c r="E90" s="6" t="s">
        <v>1469</v>
      </c>
      <c r="F90" s="6" t="s">
        <v>244</v>
      </c>
      <c r="G90" s="6" t="s">
        <v>859</v>
      </c>
      <c r="H90" s="6" t="s">
        <v>12</v>
      </c>
      <c r="I90" s="6" t="s">
        <v>10</v>
      </c>
      <c r="J90" s="6">
        <v>5163180</v>
      </c>
      <c r="K90" s="6">
        <v>424</v>
      </c>
      <c r="L90" s="6">
        <v>20059</v>
      </c>
      <c r="M90" s="6" t="s">
        <v>594</v>
      </c>
      <c r="N90" s="6">
        <v>5548</v>
      </c>
      <c r="O90" s="6">
        <v>46</v>
      </c>
      <c r="P90" s="6">
        <v>0</v>
      </c>
      <c r="Q90" s="6">
        <v>0</v>
      </c>
      <c r="R90" s="6">
        <v>2556</v>
      </c>
      <c r="S90" s="6">
        <v>2101</v>
      </c>
      <c r="T90" s="6" t="s">
        <v>863</v>
      </c>
      <c r="U90" s="6" t="s">
        <v>863</v>
      </c>
    </row>
    <row r="91" spans="1:21">
      <c r="A91" t="s">
        <v>236</v>
      </c>
      <c r="B91" t="s">
        <v>164</v>
      </c>
      <c r="C91" t="s">
        <v>237</v>
      </c>
      <c r="D91" s="6" t="s">
        <v>1453</v>
      </c>
      <c r="E91" s="6" t="s">
        <v>1470</v>
      </c>
      <c r="F91" s="6" t="s">
        <v>238</v>
      </c>
      <c r="G91" s="6" t="s">
        <v>857</v>
      </c>
      <c r="H91" s="6" t="s">
        <v>12</v>
      </c>
      <c r="I91" s="6" t="s">
        <v>10</v>
      </c>
      <c r="J91" s="6">
        <v>5547687</v>
      </c>
      <c r="K91" s="6">
        <v>57</v>
      </c>
      <c r="L91" s="6">
        <v>333922</v>
      </c>
      <c r="M91" s="6" t="s">
        <v>592</v>
      </c>
      <c r="N91" s="6">
        <v>5616</v>
      </c>
      <c r="O91" s="6">
        <v>53</v>
      </c>
      <c r="P91" s="6">
        <v>0</v>
      </c>
      <c r="Q91" s="6">
        <v>0</v>
      </c>
      <c r="R91" s="6">
        <v>2642</v>
      </c>
      <c r="S91" s="6">
        <v>2097</v>
      </c>
      <c r="T91" s="6" t="s">
        <v>863</v>
      </c>
      <c r="U91" s="6" t="s">
        <v>863</v>
      </c>
    </row>
    <row r="92" spans="1:21">
      <c r="A92" t="s">
        <v>378</v>
      </c>
      <c r="B92" t="s">
        <v>131</v>
      </c>
      <c r="C92" t="s">
        <v>160</v>
      </c>
      <c r="D92" s="6" t="s">
        <v>379</v>
      </c>
      <c r="E92" s="6" t="s">
        <v>1873</v>
      </c>
      <c r="F92" s="6" t="s">
        <v>380</v>
      </c>
      <c r="G92" s="6" t="s">
        <v>780</v>
      </c>
      <c r="H92" s="6" t="s">
        <v>324</v>
      </c>
      <c r="I92" s="6" t="s">
        <v>140</v>
      </c>
      <c r="J92" s="6">
        <v>3642260</v>
      </c>
      <c r="K92" s="6">
        <v>311</v>
      </c>
      <c r="L92" s="6">
        <v>18238</v>
      </c>
      <c r="M92" s="6" t="s">
        <v>637</v>
      </c>
      <c r="N92" s="6">
        <v>3818</v>
      </c>
      <c r="O92" s="6">
        <v>34</v>
      </c>
      <c r="P92" s="6">
        <v>0</v>
      </c>
      <c r="Q92" s="6">
        <v>0</v>
      </c>
      <c r="R92" s="6">
        <v>1744</v>
      </c>
      <c r="S92" s="6">
        <v>1590</v>
      </c>
      <c r="T92" s="6" t="s">
        <v>864</v>
      </c>
      <c r="U92" s="6" t="s">
        <v>864</v>
      </c>
    </row>
    <row r="93" spans="1:21">
      <c r="A93" t="s">
        <v>32</v>
      </c>
      <c r="B93" t="s">
        <v>20</v>
      </c>
      <c r="C93" t="s">
        <v>33</v>
      </c>
      <c r="D93" s="6" t="s">
        <v>1417</v>
      </c>
      <c r="E93" s="6" t="s">
        <v>1874</v>
      </c>
      <c r="F93" s="6" t="s">
        <v>34</v>
      </c>
      <c r="G93" s="6" t="s">
        <v>698</v>
      </c>
      <c r="H93" s="6" t="s">
        <v>12</v>
      </c>
      <c r="I93" s="6" t="s">
        <v>10</v>
      </c>
      <c r="J93" s="6">
        <v>4105299</v>
      </c>
      <c r="K93" s="6">
        <v>78</v>
      </c>
      <c r="L93" s="6">
        <v>219649</v>
      </c>
      <c r="M93" s="6" t="s">
        <v>529</v>
      </c>
      <c r="N93" s="6">
        <v>4435</v>
      </c>
      <c r="O93" s="6">
        <v>47</v>
      </c>
      <c r="P93" s="6">
        <v>0</v>
      </c>
      <c r="Q93" s="6">
        <v>0</v>
      </c>
      <c r="R93" s="6">
        <v>1971</v>
      </c>
      <c r="S93" s="6">
        <v>2036</v>
      </c>
      <c r="T93" s="6" t="s">
        <v>863</v>
      </c>
      <c r="U93" s="6" t="s">
        <v>863</v>
      </c>
    </row>
    <row r="94" spans="1:21">
      <c r="A94" t="s">
        <v>38</v>
      </c>
      <c r="B94" t="s">
        <v>20</v>
      </c>
      <c r="C94" t="s">
        <v>39</v>
      </c>
      <c r="D94" s="6" t="s">
        <v>1419</v>
      </c>
      <c r="E94" s="6" t="s">
        <v>1875</v>
      </c>
      <c r="F94" s="6" t="s">
        <v>40</v>
      </c>
      <c r="G94" s="6" t="s">
        <v>700</v>
      </c>
      <c r="H94" s="6" t="s">
        <v>12</v>
      </c>
      <c r="I94" s="6" t="s">
        <v>10</v>
      </c>
      <c r="J94" s="6">
        <v>4305430</v>
      </c>
      <c r="K94" s="6">
        <v>1</v>
      </c>
      <c r="L94" s="6">
        <v>4305430</v>
      </c>
      <c r="M94" s="6" t="s">
        <v>531</v>
      </c>
      <c r="N94" s="6">
        <v>4514</v>
      </c>
      <c r="O94" s="6">
        <v>51</v>
      </c>
      <c r="P94" s="6">
        <v>15</v>
      </c>
      <c r="Q94" s="6">
        <v>0</v>
      </c>
      <c r="R94" s="6">
        <v>2314</v>
      </c>
      <c r="S94" s="6">
        <v>1600</v>
      </c>
      <c r="T94" s="6" t="s">
        <v>863</v>
      </c>
      <c r="U94" s="6" t="s">
        <v>863</v>
      </c>
    </row>
    <row r="95" spans="1:21">
      <c r="A95" t="s">
        <v>297</v>
      </c>
      <c r="B95" t="s">
        <v>298</v>
      </c>
      <c r="C95" t="s">
        <v>299</v>
      </c>
      <c r="D95" s="6" t="s">
        <v>1438</v>
      </c>
      <c r="E95" s="6" t="s">
        <v>1876</v>
      </c>
      <c r="F95" s="6" t="s">
        <v>300</v>
      </c>
      <c r="G95" s="6" t="s">
        <v>755</v>
      </c>
      <c r="H95" s="6" t="s">
        <v>12</v>
      </c>
      <c r="I95" s="6" t="s">
        <v>10</v>
      </c>
      <c r="J95" s="6">
        <v>4711496</v>
      </c>
      <c r="K95" s="6">
        <v>74</v>
      </c>
      <c r="L95" s="6">
        <v>348697</v>
      </c>
      <c r="M95" s="6" t="s">
        <v>612</v>
      </c>
      <c r="N95" s="6">
        <v>4723</v>
      </c>
      <c r="O95" s="6">
        <v>54</v>
      </c>
      <c r="P95" s="6">
        <v>0</v>
      </c>
      <c r="Q95" s="6">
        <v>0</v>
      </c>
      <c r="R95" s="6">
        <v>1931</v>
      </c>
      <c r="S95" s="6">
        <v>2355</v>
      </c>
      <c r="T95" s="6" t="s">
        <v>863</v>
      </c>
      <c r="U95" s="6" t="s">
        <v>863</v>
      </c>
    </row>
    <row r="96" spans="1:21">
      <c r="A96" t="s">
        <v>304</v>
      </c>
      <c r="B96" t="s">
        <v>298</v>
      </c>
      <c r="C96" t="s">
        <v>305</v>
      </c>
      <c r="D96" s="6" t="s">
        <v>1439</v>
      </c>
      <c r="E96" s="6" t="s">
        <v>1877</v>
      </c>
      <c r="F96" s="6" t="s">
        <v>306</v>
      </c>
      <c r="G96" s="6" t="s">
        <v>757</v>
      </c>
      <c r="H96" s="6" t="s">
        <v>12</v>
      </c>
      <c r="I96" s="6" t="s">
        <v>10</v>
      </c>
      <c r="J96" s="6">
        <v>5192607</v>
      </c>
      <c r="K96" s="6">
        <v>103</v>
      </c>
      <c r="L96" s="6">
        <v>171830</v>
      </c>
      <c r="M96" s="6" t="s">
        <v>614</v>
      </c>
      <c r="N96" s="6">
        <v>5424</v>
      </c>
      <c r="O96" s="6">
        <v>51</v>
      </c>
      <c r="P96" s="6">
        <v>0</v>
      </c>
      <c r="Q96" s="6">
        <v>24</v>
      </c>
      <c r="R96" s="6">
        <v>1963</v>
      </c>
      <c r="S96" s="6">
        <v>2851</v>
      </c>
      <c r="T96" s="6" t="s">
        <v>863</v>
      </c>
      <c r="U96" s="6" t="s">
        <v>863</v>
      </c>
    </row>
    <row r="97" spans="1:21">
      <c r="A97" t="s">
        <v>312</v>
      </c>
      <c r="B97" t="s">
        <v>164</v>
      </c>
      <c r="C97" t="s">
        <v>313</v>
      </c>
      <c r="D97" s="6" t="s">
        <v>1442</v>
      </c>
      <c r="E97" s="6" t="s">
        <v>1878</v>
      </c>
      <c r="F97" s="6" t="s">
        <v>314</v>
      </c>
      <c r="G97" s="6" t="s">
        <v>759</v>
      </c>
      <c r="H97" s="6" t="s">
        <v>12</v>
      </c>
      <c r="I97" s="6" t="s">
        <v>10</v>
      </c>
      <c r="J97" s="6">
        <v>5122378</v>
      </c>
      <c r="K97" s="6">
        <v>54</v>
      </c>
      <c r="L97" s="6">
        <v>304224</v>
      </c>
      <c r="M97" s="6" t="s">
        <v>616</v>
      </c>
      <c r="N97" s="6">
        <v>4987</v>
      </c>
      <c r="O97" s="6">
        <v>54</v>
      </c>
      <c r="P97" s="6">
        <v>0</v>
      </c>
      <c r="Q97" s="6">
        <v>0</v>
      </c>
      <c r="R97" s="6">
        <v>2383</v>
      </c>
      <c r="S97" s="6">
        <v>1893</v>
      </c>
      <c r="T97" s="6" t="s">
        <v>863</v>
      </c>
      <c r="U97" s="6" t="s">
        <v>864</v>
      </c>
    </row>
    <row r="98" spans="1:21">
      <c r="A98" t="s">
        <v>315</v>
      </c>
      <c r="B98" t="s">
        <v>164</v>
      </c>
      <c r="C98" t="s">
        <v>316</v>
      </c>
      <c r="D98" s="6" t="s">
        <v>1441</v>
      </c>
      <c r="E98" s="6" t="s">
        <v>1879</v>
      </c>
      <c r="F98" s="6" t="s">
        <v>317</v>
      </c>
      <c r="G98" s="6" t="s">
        <v>760</v>
      </c>
      <c r="H98" s="6" t="s">
        <v>12</v>
      </c>
      <c r="I98" s="6" t="s">
        <v>10</v>
      </c>
      <c r="J98" s="6">
        <v>5245321</v>
      </c>
      <c r="K98" s="6">
        <v>56</v>
      </c>
      <c r="L98" s="6">
        <v>220202</v>
      </c>
      <c r="M98" s="6" t="s">
        <v>617</v>
      </c>
      <c r="N98" s="6">
        <v>5135</v>
      </c>
      <c r="O98" s="6">
        <v>47</v>
      </c>
      <c r="P98" s="6">
        <v>0</v>
      </c>
      <c r="Q98" s="6">
        <v>0</v>
      </c>
      <c r="R98" s="6">
        <v>2501</v>
      </c>
      <c r="S98" s="6">
        <v>1820</v>
      </c>
      <c r="T98" s="6" t="s">
        <v>863</v>
      </c>
      <c r="U98" s="6" t="s">
        <v>863</v>
      </c>
    </row>
    <row r="99" spans="1:21">
      <c r="A99" t="s">
        <v>318</v>
      </c>
      <c r="B99" t="s">
        <v>164</v>
      </c>
      <c r="C99" t="s">
        <v>319</v>
      </c>
      <c r="D99" s="6" t="s">
        <v>1443</v>
      </c>
      <c r="E99" s="6" t="s">
        <v>1880</v>
      </c>
      <c r="F99" s="6" t="s">
        <v>320</v>
      </c>
      <c r="G99" s="6" t="s">
        <v>761</v>
      </c>
      <c r="H99" s="6" t="s">
        <v>12</v>
      </c>
      <c r="I99" s="6" t="s">
        <v>10</v>
      </c>
      <c r="J99" s="6">
        <v>5353455</v>
      </c>
      <c r="K99" s="6">
        <v>292</v>
      </c>
      <c r="L99" s="6">
        <v>142509</v>
      </c>
      <c r="M99" s="6" t="s">
        <v>618</v>
      </c>
      <c r="N99" s="6">
        <v>5525</v>
      </c>
      <c r="O99" s="6">
        <v>51</v>
      </c>
      <c r="P99" s="6">
        <v>0</v>
      </c>
      <c r="Q99" s="6">
        <v>0</v>
      </c>
      <c r="R99" s="6">
        <v>2297</v>
      </c>
      <c r="S99" s="6">
        <v>2469</v>
      </c>
      <c r="T99" s="6" t="s">
        <v>863</v>
      </c>
      <c r="U99" s="6" t="s">
        <v>863</v>
      </c>
    </row>
    <row r="100" spans="1:21">
      <c r="A100" t="s">
        <v>258</v>
      </c>
      <c r="B100" t="s">
        <v>252</v>
      </c>
      <c r="C100" t="s">
        <v>259</v>
      </c>
      <c r="D100" s="6" t="s">
        <v>1423</v>
      </c>
      <c r="E100" s="6" t="s">
        <v>1881</v>
      </c>
      <c r="F100" s="6" t="s">
        <v>260</v>
      </c>
      <c r="G100" s="6" t="s">
        <v>742</v>
      </c>
      <c r="H100" s="6" t="s">
        <v>12</v>
      </c>
      <c r="I100" s="6" t="s">
        <v>10</v>
      </c>
      <c r="J100" s="6">
        <v>5326437</v>
      </c>
      <c r="K100" s="6">
        <v>11</v>
      </c>
      <c r="L100" s="6">
        <v>4211429</v>
      </c>
      <c r="M100" s="6" t="s">
        <v>599</v>
      </c>
      <c r="N100" s="6">
        <v>5621</v>
      </c>
      <c r="O100" s="6">
        <v>58</v>
      </c>
      <c r="P100" s="6">
        <v>0</v>
      </c>
      <c r="Q100" s="6">
        <v>168</v>
      </c>
      <c r="R100" s="6">
        <v>2190</v>
      </c>
      <c r="S100" s="6">
        <v>2606</v>
      </c>
      <c r="T100" s="6" t="s">
        <v>863</v>
      </c>
      <c r="U100" s="6" t="s">
        <v>863</v>
      </c>
    </row>
    <row r="101" spans="1:21">
      <c r="A101" t="s">
        <v>288</v>
      </c>
      <c r="B101" t="s">
        <v>289</v>
      </c>
      <c r="C101" t="s">
        <v>10</v>
      </c>
      <c r="D101" s="6" t="s">
        <v>1381</v>
      </c>
      <c r="E101" s="6" t="s">
        <v>1832</v>
      </c>
      <c r="F101" s="6" t="s">
        <v>290</v>
      </c>
      <c r="G101" s="6" t="s">
        <v>752</v>
      </c>
      <c r="H101" s="6" t="s">
        <v>12</v>
      </c>
      <c r="I101" s="6" t="s">
        <v>10</v>
      </c>
      <c r="J101" s="6">
        <v>4353888</v>
      </c>
      <c r="K101" s="6">
        <v>2</v>
      </c>
      <c r="L101" s="6">
        <v>4234359</v>
      </c>
      <c r="M101" s="6" t="s">
        <v>609</v>
      </c>
      <c r="N101" s="6">
        <v>4449</v>
      </c>
      <c r="O101" s="6">
        <v>50</v>
      </c>
      <c r="P101" s="6">
        <v>52</v>
      </c>
      <c r="Q101" s="6">
        <v>0</v>
      </c>
      <c r="R101" s="6">
        <v>1941</v>
      </c>
      <c r="S101" s="6">
        <v>2011</v>
      </c>
      <c r="T101" s="6" t="s">
        <v>864</v>
      </c>
      <c r="U101" s="6" t="s">
        <v>863</v>
      </c>
    </row>
    <row r="102" spans="1:21">
      <c r="A102" t="s">
        <v>291</v>
      </c>
      <c r="B102" t="s">
        <v>289</v>
      </c>
      <c r="C102" t="s">
        <v>10</v>
      </c>
      <c r="D102" s="6" t="s">
        <v>1380</v>
      </c>
      <c r="E102" s="6" t="s">
        <v>1833</v>
      </c>
      <c r="F102" s="6" t="s">
        <v>292</v>
      </c>
      <c r="G102" s="6" t="s">
        <v>753</v>
      </c>
      <c r="H102" s="6" t="s">
        <v>12</v>
      </c>
      <c r="I102" s="6" t="s">
        <v>10</v>
      </c>
      <c r="J102" s="6">
        <v>4354848</v>
      </c>
      <c r="K102" s="6">
        <v>2</v>
      </c>
      <c r="L102" s="6">
        <v>4235314</v>
      </c>
      <c r="M102" s="6" t="s">
        <v>610</v>
      </c>
      <c r="N102" s="6">
        <v>4368</v>
      </c>
      <c r="O102" s="6">
        <v>50</v>
      </c>
      <c r="P102" s="6">
        <v>34</v>
      </c>
      <c r="Q102" s="6">
        <v>0</v>
      </c>
      <c r="R102" s="6">
        <v>1941</v>
      </c>
      <c r="S102" s="6">
        <v>2003</v>
      </c>
      <c r="T102" s="6" t="s">
        <v>863</v>
      </c>
      <c r="U102" s="6" t="s">
        <v>863</v>
      </c>
    </row>
    <row r="103" spans="1:21">
      <c r="A103" t="s">
        <v>348</v>
      </c>
      <c r="B103" t="s">
        <v>131</v>
      </c>
      <c r="C103" t="s">
        <v>332</v>
      </c>
      <c r="D103" s="6" t="s">
        <v>349</v>
      </c>
      <c r="E103" s="6" t="s">
        <v>1882</v>
      </c>
      <c r="F103" s="6" t="s">
        <v>350</v>
      </c>
      <c r="G103" s="6" t="s">
        <v>770</v>
      </c>
      <c r="H103" s="6" t="s">
        <v>324</v>
      </c>
      <c r="I103" s="6" t="s">
        <v>140</v>
      </c>
      <c r="J103" s="6">
        <v>3577379</v>
      </c>
      <c r="K103" s="6">
        <v>649</v>
      </c>
      <c r="L103" s="6">
        <v>6513</v>
      </c>
      <c r="M103" s="6" t="s">
        <v>627</v>
      </c>
      <c r="N103" s="6">
        <v>4159</v>
      </c>
      <c r="O103" s="6">
        <v>27</v>
      </c>
      <c r="P103" s="6">
        <v>0</v>
      </c>
      <c r="Q103" s="6">
        <v>0</v>
      </c>
      <c r="R103" s="6">
        <v>1655</v>
      </c>
      <c r="S103" s="6">
        <v>1977</v>
      </c>
      <c r="T103" s="6" t="s">
        <v>864</v>
      </c>
      <c r="U103" s="6" t="s">
        <v>864</v>
      </c>
    </row>
    <row r="104" spans="1:21">
      <c r="A104" t="s">
        <v>293</v>
      </c>
      <c r="B104" t="s">
        <v>294</v>
      </c>
      <c r="C104" t="s">
        <v>295</v>
      </c>
      <c r="D104" s="6" t="s">
        <v>1437</v>
      </c>
      <c r="E104" s="6" t="s">
        <v>1883</v>
      </c>
      <c r="F104" s="6" t="s">
        <v>296</v>
      </c>
      <c r="G104" s="6" t="s">
        <v>754</v>
      </c>
      <c r="H104" s="6" t="s">
        <v>12</v>
      </c>
      <c r="I104" s="6" t="s">
        <v>10</v>
      </c>
      <c r="J104" s="6">
        <v>3086309</v>
      </c>
      <c r="K104" s="6">
        <v>19</v>
      </c>
      <c r="L104" s="6">
        <v>379575</v>
      </c>
      <c r="M104" s="6" t="s">
        <v>611</v>
      </c>
      <c r="N104" s="6">
        <v>2944</v>
      </c>
      <c r="O104" s="6">
        <v>48</v>
      </c>
      <c r="P104" s="6">
        <v>0</v>
      </c>
      <c r="Q104" s="6">
        <v>334</v>
      </c>
      <c r="R104" s="6">
        <v>1676</v>
      </c>
      <c r="S104" s="6">
        <v>1022</v>
      </c>
      <c r="T104" s="6" t="s">
        <v>863</v>
      </c>
      <c r="U104" s="6" t="s">
        <v>863</v>
      </c>
    </row>
    <row r="105" spans="1:21">
      <c r="A105" t="s">
        <v>381</v>
      </c>
      <c r="B105" t="s">
        <v>131</v>
      </c>
      <c r="C105" t="s">
        <v>160</v>
      </c>
      <c r="D105" s="6" t="s">
        <v>382</v>
      </c>
      <c r="E105" s="6" t="s">
        <v>1884</v>
      </c>
      <c r="F105" s="6" t="s">
        <v>383</v>
      </c>
      <c r="G105" s="6" t="s">
        <v>781</v>
      </c>
      <c r="H105" s="6" t="s">
        <v>324</v>
      </c>
      <c r="I105" s="6" t="s">
        <v>140</v>
      </c>
      <c r="J105" s="6">
        <v>4942379</v>
      </c>
      <c r="K105" s="6">
        <v>284</v>
      </c>
      <c r="L105" s="6">
        <v>30002</v>
      </c>
      <c r="M105" s="6" t="s">
        <v>638</v>
      </c>
      <c r="N105" s="6">
        <v>5239</v>
      </c>
      <c r="O105" s="6">
        <v>37</v>
      </c>
      <c r="P105" s="6">
        <v>0</v>
      </c>
      <c r="Q105" s="6">
        <v>0</v>
      </c>
      <c r="R105" s="6">
        <v>1960</v>
      </c>
      <c r="S105" s="6">
        <v>2476</v>
      </c>
      <c r="T105" s="6" t="s">
        <v>864</v>
      </c>
      <c r="U105" s="6" t="s">
        <v>864</v>
      </c>
    </row>
    <row r="106" spans="1:21">
      <c r="A106" t="s">
        <v>351</v>
      </c>
      <c r="B106" t="s">
        <v>131</v>
      </c>
      <c r="C106" t="s">
        <v>332</v>
      </c>
      <c r="D106" s="6" t="s">
        <v>352</v>
      </c>
      <c r="E106" s="6" t="s">
        <v>1885</v>
      </c>
      <c r="F106" s="6" t="s">
        <v>353</v>
      </c>
      <c r="G106" s="6" t="s">
        <v>771</v>
      </c>
      <c r="H106" s="6" t="s">
        <v>324</v>
      </c>
      <c r="I106" s="6" t="s">
        <v>140</v>
      </c>
      <c r="J106" s="6">
        <v>3876638</v>
      </c>
      <c r="K106" s="6">
        <v>105</v>
      </c>
      <c r="L106" s="6">
        <v>59287</v>
      </c>
      <c r="M106" s="6" t="s">
        <v>628</v>
      </c>
      <c r="N106" s="6">
        <v>3838</v>
      </c>
      <c r="O106" s="6">
        <v>39</v>
      </c>
      <c r="P106" s="6">
        <v>0</v>
      </c>
      <c r="Q106" s="6">
        <v>48</v>
      </c>
      <c r="R106" s="6">
        <v>1825</v>
      </c>
      <c r="S106" s="6">
        <v>1625</v>
      </c>
      <c r="T106" s="6" t="s">
        <v>863</v>
      </c>
      <c r="U106" s="6" t="s">
        <v>864</v>
      </c>
    </row>
    <row r="107" spans="1:21">
      <c r="A107" t="s">
        <v>141</v>
      </c>
      <c r="B107" t="s">
        <v>131</v>
      </c>
      <c r="C107" t="s">
        <v>142</v>
      </c>
      <c r="D107" s="6" t="s">
        <v>1409</v>
      </c>
      <c r="E107" s="6" t="s">
        <v>1886</v>
      </c>
      <c r="F107" s="6" t="s">
        <v>144</v>
      </c>
      <c r="G107" s="6" t="s">
        <v>732</v>
      </c>
      <c r="H107" s="6" t="s">
        <v>12</v>
      </c>
      <c r="I107" s="6" t="s">
        <v>140</v>
      </c>
      <c r="J107" s="6">
        <v>5801291</v>
      </c>
      <c r="K107" s="6">
        <v>76</v>
      </c>
      <c r="L107" s="6">
        <v>216247</v>
      </c>
      <c r="M107" s="6" t="s">
        <v>563</v>
      </c>
      <c r="N107" s="6">
        <v>5733</v>
      </c>
      <c r="O107" s="6">
        <v>59</v>
      </c>
      <c r="P107" s="6">
        <v>0</v>
      </c>
      <c r="Q107" s="6">
        <v>0</v>
      </c>
      <c r="R107" s="6">
        <v>2176</v>
      </c>
      <c r="S107" s="6">
        <v>2670</v>
      </c>
      <c r="T107" s="6" t="s">
        <v>863</v>
      </c>
      <c r="U107" s="6" t="s">
        <v>863</v>
      </c>
    </row>
    <row r="108" spans="1:21">
      <c r="A108" t="s">
        <v>384</v>
      </c>
      <c r="B108" t="s">
        <v>131</v>
      </c>
      <c r="C108" t="s">
        <v>160</v>
      </c>
      <c r="D108" s="6" t="s">
        <v>385</v>
      </c>
      <c r="E108" s="6" t="s">
        <v>1887</v>
      </c>
      <c r="F108" s="6" t="s">
        <v>386</v>
      </c>
      <c r="G108" s="6" t="s">
        <v>782</v>
      </c>
      <c r="H108" s="6" t="s">
        <v>324</v>
      </c>
      <c r="I108" s="6" t="s">
        <v>140</v>
      </c>
      <c r="J108" s="6">
        <v>3280544</v>
      </c>
      <c r="K108" s="6">
        <v>270</v>
      </c>
      <c r="L108" s="6">
        <v>16874</v>
      </c>
      <c r="M108" s="6" t="s">
        <v>639</v>
      </c>
      <c r="N108" s="6">
        <v>3473</v>
      </c>
      <c r="O108" s="6">
        <v>33</v>
      </c>
      <c r="P108" s="6">
        <v>0</v>
      </c>
      <c r="Q108" s="6">
        <v>0</v>
      </c>
      <c r="R108" s="6">
        <v>1652</v>
      </c>
      <c r="S108" s="6">
        <v>1418</v>
      </c>
      <c r="T108" s="6" t="s">
        <v>864</v>
      </c>
      <c r="U108" s="6" t="s">
        <v>864</v>
      </c>
    </row>
    <row r="109" spans="1:21">
      <c r="A109" t="s">
        <v>354</v>
      </c>
      <c r="B109" t="s">
        <v>131</v>
      </c>
      <c r="C109" t="s">
        <v>332</v>
      </c>
      <c r="D109" s="6" t="s">
        <v>355</v>
      </c>
      <c r="E109" s="6" t="s">
        <v>1888</v>
      </c>
      <c r="F109" s="6" t="s">
        <v>356</v>
      </c>
      <c r="G109" s="6" t="s">
        <v>772</v>
      </c>
      <c r="H109" s="6" t="s">
        <v>324</v>
      </c>
      <c r="I109" s="6" t="s">
        <v>140</v>
      </c>
      <c r="J109" s="6">
        <v>5130386</v>
      </c>
      <c r="K109" s="6">
        <v>233</v>
      </c>
      <c r="L109" s="6">
        <v>36657</v>
      </c>
      <c r="M109" s="6" t="s">
        <v>629</v>
      </c>
      <c r="N109" s="6">
        <v>5183</v>
      </c>
      <c r="O109" s="6">
        <v>41</v>
      </c>
      <c r="P109" s="6">
        <v>0</v>
      </c>
      <c r="Q109" s="6">
        <v>0</v>
      </c>
      <c r="R109" s="6">
        <v>2120</v>
      </c>
      <c r="S109" s="6">
        <v>2296</v>
      </c>
      <c r="T109" s="6" t="s">
        <v>863</v>
      </c>
      <c r="U109" s="6" t="s">
        <v>864</v>
      </c>
    </row>
    <row r="110" spans="1:21">
      <c r="A110" t="s">
        <v>387</v>
      </c>
      <c r="B110" t="s">
        <v>131</v>
      </c>
      <c r="C110" t="s">
        <v>160</v>
      </c>
      <c r="D110" s="6" t="s">
        <v>388</v>
      </c>
      <c r="E110" s="6" t="s">
        <v>1889</v>
      </c>
      <c r="F110" s="6" t="s">
        <v>389</v>
      </c>
      <c r="G110" s="6" t="s">
        <v>783</v>
      </c>
      <c r="H110" s="6" t="s">
        <v>324</v>
      </c>
      <c r="I110" s="6" t="s">
        <v>140</v>
      </c>
      <c r="J110" s="6">
        <v>5694266</v>
      </c>
      <c r="K110" s="6">
        <v>208</v>
      </c>
      <c r="L110" s="6">
        <v>50315</v>
      </c>
      <c r="M110" s="6" t="s">
        <v>640</v>
      </c>
      <c r="N110" s="6">
        <v>5862</v>
      </c>
      <c r="O110" s="6">
        <v>42</v>
      </c>
      <c r="P110" s="6">
        <v>0</v>
      </c>
      <c r="Q110" s="6">
        <v>0</v>
      </c>
      <c r="R110" s="6">
        <v>2272</v>
      </c>
      <c r="S110" s="6">
        <v>2538</v>
      </c>
      <c r="T110" s="6" t="s">
        <v>864</v>
      </c>
      <c r="U110" s="6" t="s">
        <v>864</v>
      </c>
    </row>
    <row r="111" spans="1:21">
      <c r="A111" t="s">
        <v>390</v>
      </c>
      <c r="B111" t="s">
        <v>131</v>
      </c>
      <c r="C111" t="s">
        <v>332</v>
      </c>
      <c r="D111" s="6" t="s">
        <v>391</v>
      </c>
      <c r="E111" s="6" t="s">
        <v>1890</v>
      </c>
      <c r="F111" s="6" t="s">
        <v>392</v>
      </c>
      <c r="G111" s="6" t="s">
        <v>784</v>
      </c>
      <c r="H111" s="6" t="s">
        <v>324</v>
      </c>
      <c r="I111" s="6" t="s">
        <v>140</v>
      </c>
      <c r="J111" s="6">
        <v>3836498</v>
      </c>
      <c r="K111" s="6">
        <v>963</v>
      </c>
      <c r="L111" s="6">
        <v>4264</v>
      </c>
      <c r="M111" s="6" t="s">
        <v>641</v>
      </c>
      <c r="N111" s="6">
        <v>4844</v>
      </c>
      <c r="O111" s="6">
        <v>28</v>
      </c>
      <c r="P111" s="6">
        <v>0</v>
      </c>
      <c r="Q111" s="6">
        <v>0</v>
      </c>
      <c r="R111" s="6">
        <v>1685</v>
      </c>
      <c r="S111" s="6">
        <v>2452</v>
      </c>
      <c r="T111" s="6" t="s">
        <v>864</v>
      </c>
      <c r="U111" s="6" t="s">
        <v>864</v>
      </c>
    </row>
    <row r="112" spans="1:21">
      <c r="A112" t="s">
        <v>393</v>
      </c>
      <c r="B112" t="s">
        <v>131</v>
      </c>
      <c r="C112" t="s">
        <v>160</v>
      </c>
      <c r="D112" s="6" t="s">
        <v>394</v>
      </c>
      <c r="E112" s="6" t="s">
        <v>1891</v>
      </c>
      <c r="F112" s="6" t="s">
        <v>395</v>
      </c>
      <c r="G112" s="6" t="s">
        <v>785</v>
      </c>
      <c r="H112" s="6" t="s">
        <v>324</v>
      </c>
      <c r="I112" s="6" t="s">
        <v>140</v>
      </c>
      <c r="J112" s="6">
        <v>3567018</v>
      </c>
      <c r="K112" s="6">
        <v>329</v>
      </c>
      <c r="L112" s="6">
        <v>12936</v>
      </c>
      <c r="M112" s="6" t="s">
        <v>642</v>
      </c>
      <c r="N112" s="6">
        <v>3821</v>
      </c>
      <c r="O112" s="6">
        <v>24</v>
      </c>
      <c r="P112" s="6">
        <v>0</v>
      </c>
      <c r="Q112" s="6">
        <v>0</v>
      </c>
      <c r="R112" s="6">
        <v>1643</v>
      </c>
      <c r="S112" s="6">
        <v>1629</v>
      </c>
      <c r="T112" s="6" t="s">
        <v>864</v>
      </c>
      <c r="U112" s="6" t="s">
        <v>864</v>
      </c>
    </row>
    <row r="113" spans="1:21">
      <c r="A113" t="s">
        <v>357</v>
      </c>
      <c r="B113" t="s">
        <v>131</v>
      </c>
      <c r="C113" t="s">
        <v>332</v>
      </c>
      <c r="D113" s="6" t="s">
        <v>358</v>
      </c>
      <c r="E113" s="6" t="s">
        <v>1892</v>
      </c>
      <c r="F113" s="6" t="s">
        <v>359</v>
      </c>
      <c r="G113" s="6" t="s">
        <v>773</v>
      </c>
      <c r="H113" s="6" t="s">
        <v>324</v>
      </c>
      <c r="I113" s="6" t="s">
        <v>140</v>
      </c>
      <c r="J113" s="6">
        <v>5242144</v>
      </c>
      <c r="K113" s="6">
        <v>545</v>
      </c>
      <c r="L113" s="6">
        <v>14870</v>
      </c>
      <c r="M113" s="6" t="s">
        <v>630</v>
      </c>
      <c r="N113" s="6">
        <v>5854</v>
      </c>
      <c r="O113" s="6">
        <v>40</v>
      </c>
      <c r="P113" s="6">
        <v>0</v>
      </c>
      <c r="Q113" s="6">
        <v>8</v>
      </c>
      <c r="R113" s="6">
        <v>2060</v>
      </c>
      <c r="S113" s="6">
        <v>2868</v>
      </c>
      <c r="T113" s="6" t="s">
        <v>863</v>
      </c>
      <c r="U113" s="6" t="s">
        <v>864</v>
      </c>
    </row>
    <row r="114" spans="1:21">
      <c r="A114" t="s">
        <v>396</v>
      </c>
      <c r="B114" t="s">
        <v>131</v>
      </c>
      <c r="C114" t="s">
        <v>160</v>
      </c>
      <c r="D114" s="6" t="s">
        <v>397</v>
      </c>
      <c r="E114" s="6" t="s">
        <v>1893</v>
      </c>
      <c r="F114" s="6" t="s">
        <v>398</v>
      </c>
      <c r="G114" s="6" t="s">
        <v>786</v>
      </c>
      <c r="H114" s="6" t="s">
        <v>324</v>
      </c>
      <c r="I114" s="6" t="s">
        <v>140</v>
      </c>
      <c r="J114" s="6">
        <v>3783488</v>
      </c>
      <c r="K114" s="6">
        <v>574</v>
      </c>
      <c r="L114" s="6">
        <v>8346</v>
      </c>
      <c r="M114" s="6" t="s">
        <v>643</v>
      </c>
      <c r="N114" s="6">
        <v>4294</v>
      </c>
      <c r="O114" s="6">
        <v>24</v>
      </c>
      <c r="P114" s="6">
        <v>0</v>
      </c>
      <c r="Q114" s="6">
        <v>0</v>
      </c>
      <c r="R114" s="6">
        <v>1760</v>
      </c>
      <c r="S114" s="6">
        <v>1854</v>
      </c>
      <c r="T114" s="6" t="s">
        <v>864</v>
      </c>
      <c r="U114" s="6" t="s">
        <v>864</v>
      </c>
    </row>
    <row r="115" spans="1:21">
      <c r="A115" t="s">
        <v>360</v>
      </c>
      <c r="B115" t="s">
        <v>131</v>
      </c>
      <c r="C115" t="s">
        <v>332</v>
      </c>
      <c r="D115" s="6" t="s">
        <v>361</v>
      </c>
      <c r="E115" s="6" t="s">
        <v>1894</v>
      </c>
      <c r="F115" s="6" t="s">
        <v>362</v>
      </c>
      <c r="G115" s="6" t="s">
        <v>774</v>
      </c>
      <c r="H115" s="6" t="s">
        <v>324</v>
      </c>
      <c r="I115" s="6" t="s">
        <v>140</v>
      </c>
      <c r="J115" s="6">
        <v>5632149</v>
      </c>
      <c r="K115" s="6">
        <v>430</v>
      </c>
      <c r="L115" s="6">
        <v>22020</v>
      </c>
      <c r="M115" s="6" t="s">
        <v>631</v>
      </c>
      <c r="N115" s="6">
        <v>6045</v>
      </c>
      <c r="O115" s="6">
        <v>45</v>
      </c>
      <c r="P115" s="6">
        <v>0</v>
      </c>
      <c r="Q115" s="6">
        <v>0</v>
      </c>
      <c r="R115" s="6">
        <v>2150</v>
      </c>
      <c r="S115" s="6">
        <v>2865</v>
      </c>
      <c r="T115" s="6" t="s">
        <v>864</v>
      </c>
      <c r="U115" s="6" t="s">
        <v>864</v>
      </c>
    </row>
    <row r="116" spans="1:21">
      <c r="A116" t="s">
        <v>452</v>
      </c>
      <c r="B116" t="s">
        <v>164</v>
      </c>
      <c r="C116" t="s">
        <v>434</v>
      </c>
      <c r="D116" s="8" t="s">
        <v>453</v>
      </c>
      <c r="E116" s="11" t="s">
        <v>1974</v>
      </c>
      <c r="F116" s="6" t="s">
        <v>454</v>
      </c>
      <c r="G116" s="6" t="s">
        <v>809</v>
      </c>
      <c r="H116" s="6" t="s">
        <v>324</v>
      </c>
      <c r="I116" s="6" t="s">
        <v>325</v>
      </c>
      <c r="J116" s="6">
        <v>4070851</v>
      </c>
      <c r="K116" s="6">
        <v>715</v>
      </c>
      <c r="L116" s="6">
        <v>8049</v>
      </c>
      <c r="M116" s="6" t="s">
        <v>666</v>
      </c>
      <c r="N116" s="6">
        <v>4582</v>
      </c>
      <c r="O116" s="6">
        <v>30</v>
      </c>
      <c r="P116" s="6">
        <v>0</v>
      </c>
      <c r="Q116" s="6">
        <v>0</v>
      </c>
      <c r="R116" s="6">
        <v>2068</v>
      </c>
      <c r="S116" s="6">
        <v>1713</v>
      </c>
      <c r="T116" s="6" t="s">
        <v>864</v>
      </c>
      <c r="U116" s="6" t="s">
        <v>864</v>
      </c>
    </row>
    <row r="117" spans="1:21">
      <c r="A117" t="s">
        <v>363</v>
      </c>
      <c r="B117" t="s">
        <v>131</v>
      </c>
      <c r="C117" t="s">
        <v>332</v>
      </c>
      <c r="D117" s="8" t="s">
        <v>364</v>
      </c>
      <c r="E117" s="11" t="s">
        <v>1970</v>
      </c>
      <c r="F117" s="6" t="s">
        <v>365</v>
      </c>
      <c r="G117" s="6" t="s">
        <v>775</v>
      </c>
      <c r="H117" s="6" t="s">
        <v>324</v>
      </c>
      <c r="I117" s="6" t="s">
        <v>325</v>
      </c>
      <c r="J117" s="6">
        <v>4806598</v>
      </c>
      <c r="K117" s="6">
        <v>558</v>
      </c>
      <c r="L117" s="6">
        <v>11482</v>
      </c>
      <c r="M117" s="6" t="s">
        <v>632</v>
      </c>
      <c r="N117" s="6">
        <v>5267</v>
      </c>
      <c r="O117" s="6">
        <v>31</v>
      </c>
      <c r="P117" s="6">
        <v>0</v>
      </c>
      <c r="Q117" s="6">
        <v>0</v>
      </c>
      <c r="R117" s="6">
        <v>1914</v>
      </c>
      <c r="S117" s="6">
        <v>2432</v>
      </c>
      <c r="T117" s="6" t="s">
        <v>864</v>
      </c>
      <c r="U117" s="6" t="s">
        <v>864</v>
      </c>
    </row>
    <row r="118" spans="1:21">
      <c r="A118" t="s">
        <v>136</v>
      </c>
      <c r="B118" t="s">
        <v>131</v>
      </c>
      <c r="C118" t="s">
        <v>137</v>
      </c>
      <c r="D118" s="6" t="s">
        <v>1408</v>
      </c>
      <c r="E118" s="6" t="s">
        <v>1895</v>
      </c>
      <c r="F118" s="6" t="s">
        <v>139</v>
      </c>
      <c r="G118" s="6" t="s">
        <v>731</v>
      </c>
      <c r="H118" s="6" t="s">
        <v>12</v>
      </c>
      <c r="I118" s="6" t="s">
        <v>140</v>
      </c>
      <c r="J118" s="6">
        <v>5916175</v>
      </c>
      <c r="K118" s="6">
        <v>199</v>
      </c>
      <c r="L118" s="6">
        <v>127675</v>
      </c>
      <c r="M118" s="6" t="s">
        <v>562</v>
      </c>
      <c r="N118" s="6">
        <v>6157</v>
      </c>
      <c r="O118" s="6">
        <v>58</v>
      </c>
      <c r="P118" s="6">
        <v>0</v>
      </c>
      <c r="Q118" s="6">
        <v>0</v>
      </c>
      <c r="R118" s="6">
        <v>2152</v>
      </c>
      <c r="S118" s="6">
        <v>3128</v>
      </c>
      <c r="T118" s="6" t="s">
        <v>863</v>
      </c>
      <c r="U118" s="6" t="s">
        <v>863</v>
      </c>
    </row>
    <row r="119" spans="1:21">
      <c r="A119" t="s">
        <v>321</v>
      </c>
      <c r="B119" t="s">
        <v>128</v>
      </c>
      <c r="C119" t="s">
        <v>10</v>
      </c>
      <c r="D119" s="8" t="s">
        <v>322</v>
      </c>
      <c r="E119" s="11" t="s">
        <v>1972</v>
      </c>
      <c r="F119" s="6" t="s">
        <v>323</v>
      </c>
      <c r="G119" s="6" t="s">
        <v>762</v>
      </c>
      <c r="H119" s="6" t="s">
        <v>324</v>
      </c>
      <c r="I119" s="6" t="s">
        <v>325</v>
      </c>
      <c r="J119" s="6">
        <v>3194673</v>
      </c>
      <c r="K119" s="6">
        <v>469</v>
      </c>
      <c r="L119" s="6">
        <v>9678</v>
      </c>
      <c r="M119" s="6" t="s">
        <v>619</v>
      </c>
      <c r="N119" s="6">
        <v>3514</v>
      </c>
      <c r="O119" s="6">
        <v>22</v>
      </c>
      <c r="P119" s="6">
        <v>0</v>
      </c>
      <c r="Q119" s="6">
        <v>0</v>
      </c>
      <c r="R119" s="6">
        <v>1742</v>
      </c>
      <c r="S119" s="6">
        <v>1234</v>
      </c>
      <c r="T119" s="6" t="s">
        <v>864</v>
      </c>
      <c r="U119" s="6" t="s">
        <v>864</v>
      </c>
    </row>
    <row r="120" spans="1:21">
      <c r="A120" t="s">
        <v>366</v>
      </c>
      <c r="B120" t="s">
        <v>131</v>
      </c>
      <c r="C120" t="s">
        <v>332</v>
      </c>
      <c r="D120" s="8" t="s">
        <v>367</v>
      </c>
      <c r="E120" s="11" t="s">
        <v>1976</v>
      </c>
      <c r="F120" s="6" t="s">
        <v>368</v>
      </c>
      <c r="G120" s="6" t="s">
        <v>776</v>
      </c>
      <c r="H120" s="6" t="s">
        <v>324</v>
      </c>
      <c r="I120" s="6" t="s">
        <v>325</v>
      </c>
      <c r="J120" s="6">
        <v>4397224</v>
      </c>
      <c r="K120" s="6">
        <v>548</v>
      </c>
      <c r="L120" s="6">
        <v>11253</v>
      </c>
      <c r="M120" s="6" t="s">
        <v>633</v>
      </c>
      <c r="N120" s="6">
        <v>4781</v>
      </c>
      <c r="O120" s="6">
        <v>28</v>
      </c>
      <c r="P120" s="6">
        <v>0</v>
      </c>
      <c r="Q120" s="6">
        <v>0</v>
      </c>
      <c r="R120" s="6">
        <v>1878</v>
      </c>
      <c r="S120" s="6">
        <v>2212</v>
      </c>
      <c r="T120" s="6" t="s">
        <v>864</v>
      </c>
      <c r="U120" s="6" t="s">
        <v>864</v>
      </c>
    </row>
    <row r="121" spans="1:21">
      <c r="A121" t="s">
        <v>399</v>
      </c>
      <c r="B121" t="s">
        <v>131</v>
      </c>
      <c r="C121" t="s">
        <v>150</v>
      </c>
      <c r="D121" s="8" t="s">
        <v>400</v>
      </c>
      <c r="E121" s="11" t="s">
        <v>1978</v>
      </c>
      <c r="F121" s="6" t="s">
        <v>401</v>
      </c>
      <c r="G121" s="6" t="s">
        <v>787</v>
      </c>
      <c r="H121" s="6" t="s">
        <v>324</v>
      </c>
      <c r="I121" s="6" t="s">
        <v>325</v>
      </c>
      <c r="J121" s="6">
        <v>3844366</v>
      </c>
      <c r="K121" s="6">
        <v>427</v>
      </c>
      <c r="L121" s="6">
        <v>12324</v>
      </c>
      <c r="M121" s="6" t="s">
        <v>644</v>
      </c>
      <c r="N121" s="6">
        <v>4100</v>
      </c>
      <c r="O121" s="6">
        <v>27</v>
      </c>
      <c r="P121" s="6">
        <v>0</v>
      </c>
      <c r="Q121" s="6">
        <v>0</v>
      </c>
      <c r="R121" s="6">
        <v>1755</v>
      </c>
      <c r="S121" s="6">
        <v>1744</v>
      </c>
      <c r="T121" s="6" t="s">
        <v>864</v>
      </c>
      <c r="U121" s="6" t="s">
        <v>864</v>
      </c>
    </row>
    <row r="122" spans="1:21">
      <c r="A122" t="s">
        <v>402</v>
      </c>
      <c r="B122" t="s">
        <v>131</v>
      </c>
      <c r="C122" t="s">
        <v>160</v>
      </c>
      <c r="D122" s="8" t="s">
        <v>403</v>
      </c>
      <c r="E122" s="11" t="s">
        <v>1980</v>
      </c>
      <c r="F122" s="6" t="s">
        <v>404</v>
      </c>
      <c r="G122" s="6" t="s">
        <v>788</v>
      </c>
      <c r="H122" s="6" t="s">
        <v>324</v>
      </c>
      <c r="I122" s="6" t="s">
        <v>325</v>
      </c>
      <c r="J122" s="6">
        <v>4569629</v>
      </c>
      <c r="K122" s="6">
        <v>857</v>
      </c>
      <c r="L122" s="6">
        <v>6310</v>
      </c>
      <c r="M122" s="6" t="s">
        <v>645</v>
      </c>
      <c r="N122" s="6">
        <v>5226</v>
      </c>
      <c r="O122" s="6">
        <v>27</v>
      </c>
      <c r="P122" s="6">
        <v>0</v>
      </c>
      <c r="Q122" s="6">
        <v>0</v>
      </c>
      <c r="R122" s="6">
        <v>1920</v>
      </c>
      <c r="S122" s="6">
        <v>2267</v>
      </c>
      <c r="T122" s="6" t="s">
        <v>864</v>
      </c>
      <c r="U122" s="6" t="s">
        <v>864</v>
      </c>
    </row>
    <row r="123" spans="1:21">
      <c r="A123" t="s">
        <v>405</v>
      </c>
      <c r="B123" t="s">
        <v>131</v>
      </c>
      <c r="C123" t="s">
        <v>150</v>
      </c>
      <c r="D123" s="8" t="s">
        <v>406</v>
      </c>
      <c r="E123" s="11" t="s">
        <v>1987</v>
      </c>
      <c r="F123" s="6" t="s">
        <v>407</v>
      </c>
      <c r="G123" s="6" t="s">
        <v>789</v>
      </c>
      <c r="H123" s="6" t="s">
        <v>324</v>
      </c>
      <c r="I123" s="6" t="s">
        <v>325</v>
      </c>
      <c r="J123" s="6">
        <v>4036797</v>
      </c>
      <c r="K123" s="6">
        <v>560</v>
      </c>
      <c r="L123" s="6">
        <v>11178</v>
      </c>
      <c r="M123" s="6" t="s">
        <v>646</v>
      </c>
      <c r="N123" s="6">
        <v>4392</v>
      </c>
      <c r="O123" s="6">
        <v>28</v>
      </c>
      <c r="P123" s="6">
        <v>0</v>
      </c>
      <c r="Q123" s="6">
        <v>0</v>
      </c>
      <c r="R123" s="6">
        <v>1860</v>
      </c>
      <c r="S123" s="6">
        <v>1805</v>
      </c>
      <c r="T123" s="6" t="s">
        <v>864</v>
      </c>
      <c r="U123" s="6" t="s">
        <v>864</v>
      </c>
    </row>
    <row r="124" spans="1:21">
      <c r="A124" t="s">
        <v>469</v>
      </c>
      <c r="B124" t="s">
        <v>289</v>
      </c>
      <c r="C124" t="s">
        <v>10</v>
      </c>
      <c r="D124" s="8" t="s">
        <v>470</v>
      </c>
      <c r="E124" s="11" t="s">
        <v>1982</v>
      </c>
      <c r="F124" s="6" t="s">
        <v>471</v>
      </c>
      <c r="G124" s="6" t="s">
        <v>815</v>
      </c>
      <c r="H124" s="6" t="s">
        <v>324</v>
      </c>
      <c r="I124" s="6" t="s">
        <v>325</v>
      </c>
      <c r="J124" s="6">
        <v>3043255</v>
      </c>
      <c r="K124" s="6">
        <v>481</v>
      </c>
      <c r="L124" s="6">
        <v>11587</v>
      </c>
      <c r="M124" s="6" t="s">
        <v>672</v>
      </c>
      <c r="N124" s="6">
        <v>3546</v>
      </c>
      <c r="O124" s="6">
        <v>33</v>
      </c>
      <c r="P124" s="6">
        <v>0</v>
      </c>
      <c r="Q124" s="6">
        <v>0</v>
      </c>
      <c r="R124" s="6">
        <v>1487</v>
      </c>
      <c r="S124" s="6">
        <v>1704</v>
      </c>
      <c r="T124" s="6" t="s">
        <v>864</v>
      </c>
      <c r="U124" s="6" t="s">
        <v>864</v>
      </c>
    </row>
    <row r="125" spans="1:21">
      <c r="A125" t="s">
        <v>414</v>
      </c>
      <c r="B125" t="s">
        <v>131</v>
      </c>
      <c r="C125" t="s">
        <v>150</v>
      </c>
      <c r="D125" s="8" t="s">
        <v>415</v>
      </c>
      <c r="E125" s="11" t="s">
        <v>1968</v>
      </c>
      <c r="F125" s="6" t="s">
        <v>416</v>
      </c>
      <c r="G125" s="6" t="s">
        <v>792</v>
      </c>
      <c r="H125" s="6" t="s">
        <v>324</v>
      </c>
      <c r="I125" s="6" t="s">
        <v>325</v>
      </c>
      <c r="J125" s="6">
        <v>3713847</v>
      </c>
      <c r="K125" s="6">
        <v>340</v>
      </c>
      <c r="L125" s="6">
        <v>17078</v>
      </c>
      <c r="M125" s="6" t="s">
        <v>649</v>
      </c>
      <c r="N125" s="6">
        <v>3808</v>
      </c>
      <c r="O125" s="6">
        <v>27</v>
      </c>
      <c r="P125" s="6">
        <v>0</v>
      </c>
      <c r="Q125" s="6">
        <v>0</v>
      </c>
      <c r="R125" s="6">
        <v>1769</v>
      </c>
      <c r="S125" s="6">
        <v>1452</v>
      </c>
      <c r="T125" s="6" t="s">
        <v>864</v>
      </c>
      <c r="U125" s="6" t="s">
        <v>864</v>
      </c>
    </row>
    <row r="126" spans="1:21">
      <c r="A126" t="s">
        <v>455</v>
      </c>
      <c r="B126" t="s">
        <v>164</v>
      </c>
      <c r="C126" t="s">
        <v>434</v>
      </c>
      <c r="D126" s="8" t="s">
        <v>456</v>
      </c>
      <c r="E126" s="11" t="s">
        <v>1991</v>
      </c>
      <c r="F126" s="6" t="s">
        <v>457</v>
      </c>
      <c r="G126" s="6" t="s">
        <v>810</v>
      </c>
      <c r="H126" s="6" t="s">
        <v>324</v>
      </c>
      <c r="I126" s="6" t="s">
        <v>325</v>
      </c>
      <c r="J126" s="6">
        <v>5436576</v>
      </c>
      <c r="K126" s="6">
        <v>747</v>
      </c>
      <c r="L126" s="6">
        <v>13473</v>
      </c>
      <c r="M126" s="6" t="s">
        <v>667</v>
      </c>
      <c r="N126" s="6">
        <v>6665</v>
      </c>
      <c r="O126" s="6">
        <v>34</v>
      </c>
      <c r="P126" s="6">
        <v>0</v>
      </c>
      <c r="Q126" s="6">
        <v>0</v>
      </c>
      <c r="R126" s="6">
        <v>2324</v>
      </c>
      <c r="S126" s="6">
        <v>3108</v>
      </c>
      <c r="T126" s="6" t="s">
        <v>864</v>
      </c>
      <c r="U126" s="6" t="s">
        <v>864</v>
      </c>
    </row>
    <row r="127" spans="1:21">
      <c r="A127" t="s">
        <v>458</v>
      </c>
      <c r="B127" t="s">
        <v>164</v>
      </c>
      <c r="C127" t="s">
        <v>421</v>
      </c>
      <c r="D127" s="8" t="s">
        <v>459</v>
      </c>
      <c r="E127" s="11" t="s">
        <v>1993</v>
      </c>
      <c r="F127" s="6" t="s">
        <v>460</v>
      </c>
      <c r="G127" s="6" t="s">
        <v>811</v>
      </c>
      <c r="H127" s="6" t="s">
        <v>324</v>
      </c>
      <c r="I127" s="6" t="s">
        <v>325</v>
      </c>
      <c r="J127" s="6">
        <v>3323540</v>
      </c>
      <c r="K127" s="6">
        <v>461</v>
      </c>
      <c r="L127" s="6">
        <v>9466</v>
      </c>
      <c r="M127" s="6" t="s">
        <v>668</v>
      </c>
      <c r="N127" s="6">
        <v>3586</v>
      </c>
      <c r="O127" s="6">
        <v>31</v>
      </c>
      <c r="P127" s="6">
        <v>0</v>
      </c>
      <c r="Q127" s="6">
        <v>0</v>
      </c>
      <c r="R127" s="6">
        <v>1727</v>
      </c>
      <c r="S127" s="6">
        <v>1289</v>
      </c>
      <c r="T127" s="6" t="s">
        <v>864</v>
      </c>
      <c r="U127" s="6" t="s">
        <v>864</v>
      </c>
    </row>
    <row r="128" spans="1:21">
      <c r="A128" t="s">
        <v>461</v>
      </c>
      <c r="B128" t="s">
        <v>164</v>
      </c>
      <c r="C128" t="s">
        <v>434</v>
      </c>
      <c r="D128" s="8" t="s">
        <v>462</v>
      </c>
      <c r="E128" s="11" t="s">
        <v>1966</v>
      </c>
      <c r="F128" s="6" t="s">
        <v>463</v>
      </c>
      <c r="G128" s="6" t="s">
        <v>812</v>
      </c>
      <c r="H128" s="6" t="s">
        <v>324</v>
      </c>
      <c r="I128" s="6" t="s">
        <v>325</v>
      </c>
      <c r="J128" s="6">
        <v>4735536</v>
      </c>
      <c r="K128" s="6">
        <v>1089</v>
      </c>
      <c r="L128" s="6">
        <v>5174</v>
      </c>
      <c r="M128" s="6" t="s">
        <v>669</v>
      </c>
      <c r="N128" s="6">
        <v>6038</v>
      </c>
      <c r="O128" s="6">
        <v>23</v>
      </c>
      <c r="P128" s="6">
        <v>0</v>
      </c>
      <c r="Q128" s="6">
        <v>0</v>
      </c>
      <c r="R128" s="6">
        <v>2217</v>
      </c>
      <c r="S128" s="6">
        <v>2536</v>
      </c>
      <c r="T128" s="6" t="s">
        <v>864</v>
      </c>
      <c r="U128" s="6" t="s">
        <v>864</v>
      </c>
    </row>
    <row r="129" spans="1:21">
      <c r="A129" t="s">
        <v>154</v>
      </c>
      <c r="B129" t="s">
        <v>131</v>
      </c>
      <c r="C129" t="s">
        <v>155</v>
      </c>
      <c r="D129" s="6" t="s">
        <v>1411</v>
      </c>
      <c r="E129" s="6" t="s">
        <v>1896</v>
      </c>
      <c r="F129" s="6" t="s">
        <v>156</v>
      </c>
      <c r="G129" s="6" t="s">
        <v>735</v>
      </c>
      <c r="H129" s="6" t="s">
        <v>12</v>
      </c>
      <c r="I129" s="6" t="s">
        <v>140</v>
      </c>
      <c r="J129" s="6">
        <v>4836481</v>
      </c>
      <c r="K129" s="6">
        <v>3</v>
      </c>
      <c r="L129" s="6">
        <v>4645778</v>
      </c>
      <c r="M129" s="6" t="s">
        <v>566</v>
      </c>
      <c r="N129" s="6">
        <v>4866</v>
      </c>
      <c r="O129" s="6">
        <v>59</v>
      </c>
      <c r="P129" s="6">
        <v>60</v>
      </c>
      <c r="Q129" s="6">
        <v>0</v>
      </c>
      <c r="R129" s="6">
        <v>2103</v>
      </c>
      <c r="S129" s="6">
        <v>2018</v>
      </c>
      <c r="T129" s="6" t="s">
        <v>863</v>
      </c>
      <c r="U129" s="6" t="s">
        <v>863</v>
      </c>
    </row>
    <row r="130" spans="1:21">
      <c r="A130" t="s">
        <v>417</v>
      </c>
      <c r="B130" t="s">
        <v>131</v>
      </c>
      <c r="C130" t="s">
        <v>150</v>
      </c>
      <c r="D130" s="8" t="s">
        <v>418</v>
      </c>
      <c r="E130" s="11" t="s">
        <v>1968</v>
      </c>
      <c r="F130" s="6" t="s">
        <v>419</v>
      </c>
      <c r="G130" s="6" t="s">
        <v>793</v>
      </c>
      <c r="H130" s="6" t="s">
        <v>324</v>
      </c>
      <c r="I130" s="6" t="s">
        <v>325</v>
      </c>
      <c r="J130" s="6">
        <v>4074178</v>
      </c>
      <c r="K130" s="6">
        <v>346</v>
      </c>
      <c r="L130" s="6">
        <v>19940</v>
      </c>
      <c r="M130" s="6" t="s">
        <v>650</v>
      </c>
      <c r="N130" s="6">
        <v>4140</v>
      </c>
      <c r="O130" s="6">
        <v>28</v>
      </c>
      <c r="P130" s="6">
        <v>0</v>
      </c>
      <c r="Q130" s="6">
        <v>0</v>
      </c>
      <c r="R130" s="6">
        <v>1863</v>
      </c>
      <c r="S130" s="6">
        <v>1584</v>
      </c>
      <c r="T130" s="6" t="s">
        <v>864</v>
      </c>
      <c r="U130" s="6" t="s">
        <v>864</v>
      </c>
    </row>
    <row r="131" spans="1:21">
      <c r="A131" t="s">
        <v>472</v>
      </c>
      <c r="B131" t="s">
        <v>289</v>
      </c>
      <c r="C131" t="s">
        <v>10</v>
      </c>
      <c r="D131" s="8" t="s">
        <v>473</v>
      </c>
      <c r="E131" s="11" t="s">
        <v>1982</v>
      </c>
      <c r="F131" s="6" t="s">
        <v>474</v>
      </c>
      <c r="G131" s="6" t="s">
        <v>816</v>
      </c>
      <c r="H131" s="6" t="s">
        <v>324</v>
      </c>
      <c r="I131" s="6" t="s">
        <v>325</v>
      </c>
      <c r="J131" s="6">
        <v>2995522</v>
      </c>
      <c r="K131" s="6">
        <v>535</v>
      </c>
      <c r="L131" s="6">
        <v>8303</v>
      </c>
      <c r="M131" s="6" t="s">
        <v>673</v>
      </c>
      <c r="N131" s="6">
        <v>3510</v>
      </c>
      <c r="O131" s="6">
        <v>40</v>
      </c>
      <c r="P131" s="6">
        <v>0</v>
      </c>
      <c r="Q131" s="6">
        <v>0</v>
      </c>
      <c r="R131" s="6">
        <v>1434</v>
      </c>
      <c r="S131" s="6">
        <v>1742</v>
      </c>
      <c r="T131" s="6" t="s">
        <v>864</v>
      </c>
      <c r="U131" s="6" t="s">
        <v>864</v>
      </c>
    </row>
    <row r="132" spans="1:21">
      <c r="A132" t="s">
        <v>369</v>
      </c>
      <c r="B132" t="s">
        <v>131</v>
      </c>
      <c r="C132" t="s">
        <v>332</v>
      </c>
      <c r="D132" s="8" t="s">
        <v>370</v>
      </c>
      <c r="E132" s="11" t="s">
        <v>1983</v>
      </c>
      <c r="F132" s="6" t="s">
        <v>371</v>
      </c>
      <c r="G132" s="6" t="s">
        <v>777</v>
      </c>
      <c r="H132" s="6" t="s">
        <v>324</v>
      </c>
      <c r="I132" s="6" t="s">
        <v>325</v>
      </c>
      <c r="J132" s="6">
        <v>6265900</v>
      </c>
      <c r="K132" s="6">
        <v>1554</v>
      </c>
      <c r="L132" s="6">
        <v>4644</v>
      </c>
      <c r="M132" s="6" t="s">
        <v>634</v>
      </c>
      <c r="N132" s="6">
        <v>7957</v>
      </c>
      <c r="O132" s="6">
        <v>34</v>
      </c>
      <c r="P132" s="6">
        <v>0</v>
      </c>
      <c r="Q132" s="6">
        <v>0</v>
      </c>
      <c r="R132" s="6">
        <v>1963</v>
      </c>
      <c r="S132" s="6">
        <v>4825</v>
      </c>
      <c r="T132" s="6" t="s">
        <v>864</v>
      </c>
      <c r="U132" s="6" t="s">
        <v>864</v>
      </c>
    </row>
    <row r="133" spans="1:21">
      <c r="A133" t="s">
        <v>408</v>
      </c>
      <c r="B133" t="s">
        <v>131</v>
      </c>
      <c r="C133" t="s">
        <v>150</v>
      </c>
      <c r="D133" s="8" t="s">
        <v>409</v>
      </c>
      <c r="E133" s="11" t="s">
        <v>1985</v>
      </c>
      <c r="F133" s="6" t="s">
        <v>410</v>
      </c>
      <c r="G133" s="6" t="s">
        <v>790</v>
      </c>
      <c r="H133" s="6" t="s">
        <v>324</v>
      </c>
      <c r="I133" s="6" t="s">
        <v>325</v>
      </c>
      <c r="J133" s="6">
        <v>3591248</v>
      </c>
      <c r="K133" s="6">
        <v>717</v>
      </c>
      <c r="L133" s="6">
        <v>5836</v>
      </c>
      <c r="M133" s="6" t="s">
        <v>647</v>
      </c>
      <c r="N133" s="6">
        <v>4212</v>
      </c>
      <c r="O133" s="6">
        <v>19</v>
      </c>
      <c r="P133" s="6">
        <v>0</v>
      </c>
      <c r="Q133" s="6">
        <v>0</v>
      </c>
      <c r="R133" s="6">
        <v>1646</v>
      </c>
      <c r="S133" s="6">
        <v>1903</v>
      </c>
      <c r="T133" s="6" t="s">
        <v>864</v>
      </c>
      <c r="U133" s="6" t="s">
        <v>864</v>
      </c>
    </row>
    <row r="134" spans="1:21">
      <c r="A134" t="s">
        <v>475</v>
      </c>
      <c r="B134" t="s">
        <v>289</v>
      </c>
      <c r="C134" t="s">
        <v>10</v>
      </c>
      <c r="D134" s="8" t="s">
        <v>476</v>
      </c>
      <c r="E134" s="11" t="s">
        <v>1982</v>
      </c>
      <c r="F134" s="6" t="s">
        <v>477</v>
      </c>
      <c r="G134" s="6" t="s">
        <v>817</v>
      </c>
      <c r="H134" s="6" t="s">
        <v>324</v>
      </c>
      <c r="I134" s="6" t="s">
        <v>325</v>
      </c>
      <c r="J134" s="6">
        <v>2979275</v>
      </c>
      <c r="K134" s="6">
        <v>518</v>
      </c>
      <c r="L134" s="6">
        <v>8343</v>
      </c>
      <c r="M134" s="6" t="s">
        <v>674</v>
      </c>
      <c r="N134" s="6">
        <v>3535</v>
      </c>
      <c r="O134" s="6">
        <v>23</v>
      </c>
      <c r="P134" s="6">
        <v>0</v>
      </c>
      <c r="Q134" s="6">
        <v>0</v>
      </c>
      <c r="R134" s="6">
        <v>1454</v>
      </c>
      <c r="S134" s="6">
        <v>1713</v>
      </c>
      <c r="T134" s="6" t="s">
        <v>864</v>
      </c>
      <c r="U134" s="6" t="s">
        <v>864</v>
      </c>
    </row>
    <row r="135" spans="1:21">
      <c r="A135" t="s">
        <v>478</v>
      </c>
      <c r="B135" t="s">
        <v>289</v>
      </c>
      <c r="C135" t="s">
        <v>10</v>
      </c>
      <c r="D135" s="8" t="s">
        <v>479</v>
      </c>
      <c r="E135" s="11" t="s">
        <v>1982</v>
      </c>
      <c r="F135" s="6" t="s">
        <v>480</v>
      </c>
      <c r="G135" s="6" t="s">
        <v>818</v>
      </c>
      <c r="H135" s="6" t="s">
        <v>324</v>
      </c>
      <c r="I135" s="6" t="s">
        <v>325</v>
      </c>
      <c r="J135" s="6">
        <v>2805702</v>
      </c>
      <c r="K135" s="6">
        <v>426</v>
      </c>
      <c r="L135" s="6">
        <v>13816</v>
      </c>
      <c r="M135" s="6" t="s">
        <v>675</v>
      </c>
      <c r="N135" s="6">
        <v>3266</v>
      </c>
      <c r="O135" s="6">
        <v>25</v>
      </c>
      <c r="P135" s="6">
        <v>0</v>
      </c>
      <c r="Q135" s="6">
        <v>0</v>
      </c>
      <c r="R135" s="6">
        <v>1409</v>
      </c>
      <c r="S135" s="6">
        <v>1547</v>
      </c>
      <c r="T135" s="6" t="s">
        <v>864</v>
      </c>
      <c r="U135" s="6" t="s">
        <v>864</v>
      </c>
    </row>
    <row r="136" spans="1:21">
      <c r="A136" t="s">
        <v>464</v>
      </c>
      <c r="B136" t="s">
        <v>164</v>
      </c>
      <c r="C136" t="s">
        <v>434</v>
      </c>
      <c r="D136" s="8" t="s">
        <v>465</v>
      </c>
      <c r="E136" s="11" t="s">
        <v>1974</v>
      </c>
      <c r="F136" s="6" t="s">
        <v>466</v>
      </c>
      <c r="G136" s="6" t="s">
        <v>813</v>
      </c>
      <c r="H136" s="6" t="s">
        <v>324</v>
      </c>
      <c r="I136" s="6" t="s">
        <v>325</v>
      </c>
      <c r="J136" s="6">
        <v>3961348</v>
      </c>
      <c r="K136" s="6">
        <v>626</v>
      </c>
      <c r="L136" s="6">
        <v>11199</v>
      </c>
      <c r="M136" s="6" t="s">
        <v>670</v>
      </c>
      <c r="N136" s="6">
        <v>4457</v>
      </c>
      <c r="O136" s="6">
        <v>28</v>
      </c>
      <c r="P136" s="6">
        <v>0</v>
      </c>
      <c r="Q136" s="6">
        <v>0</v>
      </c>
      <c r="R136" s="6">
        <v>2013</v>
      </c>
      <c r="S136" s="6">
        <v>1743</v>
      </c>
      <c r="T136" s="6" t="s">
        <v>864</v>
      </c>
      <c r="U136" s="6" t="s">
        <v>864</v>
      </c>
    </row>
    <row r="137" spans="1:21">
      <c r="A137" t="s">
        <v>481</v>
      </c>
      <c r="B137" t="s">
        <v>289</v>
      </c>
      <c r="C137" t="s">
        <v>10</v>
      </c>
      <c r="D137" s="8" t="s">
        <v>482</v>
      </c>
      <c r="E137" s="11" t="s">
        <v>1989</v>
      </c>
      <c r="F137" s="6" t="s">
        <v>483</v>
      </c>
      <c r="G137" s="6" t="s">
        <v>819</v>
      </c>
      <c r="H137" s="6" t="s">
        <v>324</v>
      </c>
      <c r="I137" s="6" t="s">
        <v>325</v>
      </c>
      <c r="J137" s="6">
        <v>2886432</v>
      </c>
      <c r="K137" s="6">
        <v>509</v>
      </c>
      <c r="L137" s="6">
        <v>7668</v>
      </c>
      <c r="M137" s="6" t="s">
        <v>676</v>
      </c>
      <c r="N137" s="6">
        <v>3378</v>
      </c>
      <c r="O137" s="6">
        <v>24</v>
      </c>
      <c r="P137" s="6">
        <v>0</v>
      </c>
      <c r="Q137" s="6">
        <v>0</v>
      </c>
      <c r="R137" s="6">
        <v>1451</v>
      </c>
      <c r="S137" s="6">
        <v>1581</v>
      </c>
      <c r="T137" s="6" t="s">
        <v>864</v>
      </c>
      <c r="U137" s="6" t="s">
        <v>864</v>
      </c>
    </row>
    <row r="138" spans="1:21">
      <c r="A138" t="s">
        <v>326</v>
      </c>
      <c r="B138" t="s">
        <v>128</v>
      </c>
      <c r="C138" t="s">
        <v>10</v>
      </c>
      <c r="D138" s="8" t="s">
        <v>327</v>
      </c>
      <c r="E138" s="11" t="s">
        <v>1995</v>
      </c>
      <c r="F138" s="6" t="s">
        <v>328</v>
      </c>
      <c r="G138" s="6" t="s">
        <v>763</v>
      </c>
      <c r="H138" s="6" t="s">
        <v>324</v>
      </c>
      <c r="I138" s="6" t="s">
        <v>325</v>
      </c>
      <c r="J138" s="6">
        <v>2965544</v>
      </c>
      <c r="K138" s="6">
        <v>586</v>
      </c>
      <c r="L138" s="6">
        <v>6258</v>
      </c>
      <c r="M138" s="6" t="s">
        <v>620</v>
      </c>
      <c r="N138" s="6">
        <v>3388</v>
      </c>
      <c r="O138" s="6">
        <v>25</v>
      </c>
      <c r="P138" s="6">
        <v>0</v>
      </c>
      <c r="Q138" s="6">
        <v>0</v>
      </c>
      <c r="R138" s="6">
        <v>1651</v>
      </c>
      <c r="S138" s="6">
        <v>1203</v>
      </c>
      <c r="T138" s="6" t="s">
        <v>864</v>
      </c>
      <c r="U138" s="6" t="s">
        <v>864</v>
      </c>
    </row>
    <row r="139" spans="1:21">
      <c r="A139" t="s">
        <v>411</v>
      </c>
      <c r="B139" t="s">
        <v>131</v>
      </c>
      <c r="C139" t="s">
        <v>150</v>
      </c>
      <c r="D139" s="8" t="s">
        <v>412</v>
      </c>
      <c r="E139" s="11" t="s">
        <v>1997</v>
      </c>
      <c r="F139" s="6" t="s">
        <v>413</v>
      </c>
      <c r="G139" s="6" t="s">
        <v>791</v>
      </c>
      <c r="H139" s="6" t="s">
        <v>324</v>
      </c>
      <c r="I139" s="6" t="s">
        <v>325</v>
      </c>
      <c r="J139" s="6">
        <v>4512106</v>
      </c>
      <c r="K139" s="6">
        <v>669</v>
      </c>
      <c r="L139" s="6">
        <v>9761</v>
      </c>
      <c r="M139" s="6" t="s">
        <v>648</v>
      </c>
      <c r="N139" s="6">
        <v>5068</v>
      </c>
      <c r="O139" s="6">
        <v>30</v>
      </c>
      <c r="P139" s="6">
        <v>0</v>
      </c>
      <c r="Q139" s="6">
        <v>0</v>
      </c>
      <c r="R139" s="6">
        <v>1893</v>
      </c>
      <c r="S139" s="6">
        <v>2301</v>
      </c>
      <c r="T139" s="6" t="s">
        <v>864</v>
      </c>
      <c r="U139" s="6" t="s">
        <v>864</v>
      </c>
    </row>
    <row r="140" spans="1:21">
      <c r="A140" t="s">
        <v>157</v>
      </c>
      <c r="B140" t="s">
        <v>131</v>
      </c>
      <c r="C140" t="s">
        <v>155</v>
      </c>
      <c r="D140" s="6" t="s">
        <v>1414</v>
      </c>
      <c r="E140" s="6" t="s">
        <v>1897</v>
      </c>
      <c r="F140" s="6" t="s">
        <v>158</v>
      </c>
      <c r="G140" s="6" t="s">
        <v>736</v>
      </c>
      <c r="H140" s="6" t="s">
        <v>12</v>
      </c>
      <c r="I140" s="6" t="s">
        <v>140</v>
      </c>
      <c r="J140" s="6">
        <v>4671983</v>
      </c>
      <c r="K140" s="6">
        <v>53</v>
      </c>
      <c r="L140" s="6">
        <v>249924</v>
      </c>
      <c r="M140" s="6" t="s">
        <v>567</v>
      </c>
      <c r="N140" s="6">
        <v>4671</v>
      </c>
      <c r="O140" s="6">
        <v>49</v>
      </c>
      <c r="P140" s="6">
        <v>0</v>
      </c>
      <c r="Q140" s="6">
        <v>0</v>
      </c>
      <c r="R140" s="6">
        <v>2058</v>
      </c>
      <c r="S140" s="6">
        <v>1949</v>
      </c>
      <c r="T140" s="6" t="s">
        <v>863</v>
      </c>
      <c r="U140" s="6" t="s">
        <v>863</v>
      </c>
    </row>
    <row r="141" spans="1:21">
      <c r="A141" t="s">
        <v>372</v>
      </c>
      <c r="B141" t="s">
        <v>131</v>
      </c>
      <c r="C141" t="s">
        <v>332</v>
      </c>
      <c r="D141" s="6" t="s">
        <v>1103</v>
      </c>
      <c r="E141" s="6" t="s">
        <v>1898</v>
      </c>
      <c r="F141" s="6" t="s">
        <v>373</v>
      </c>
      <c r="G141" s="6" t="s">
        <v>778</v>
      </c>
      <c r="H141" s="6" t="s">
        <v>324</v>
      </c>
      <c r="I141" s="6" t="s">
        <v>374</v>
      </c>
      <c r="J141" s="6">
        <v>3942232</v>
      </c>
      <c r="K141" s="6">
        <v>982</v>
      </c>
      <c r="L141" s="6">
        <v>4505</v>
      </c>
      <c r="M141" s="6" t="s">
        <v>635</v>
      </c>
      <c r="N141" s="6">
        <v>4552</v>
      </c>
      <c r="O141" s="6">
        <v>24</v>
      </c>
      <c r="P141" s="6">
        <v>0</v>
      </c>
      <c r="Q141" s="6">
        <v>0</v>
      </c>
      <c r="R141" s="6">
        <v>1820</v>
      </c>
      <c r="S141" s="6">
        <v>2006</v>
      </c>
      <c r="T141" s="6" t="s">
        <v>864</v>
      </c>
      <c r="U141" s="6" t="s">
        <v>864</v>
      </c>
    </row>
    <row r="142" spans="1:21">
      <c r="A142" t="s">
        <v>420</v>
      </c>
      <c r="B142" t="s">
        <v>164</v>
      </c>
      <c r="C142" t="s">
        <v>421</v>
      </c>
      <c r="D142" s="6" t="s">
        <v>1113</v>
      </c>
      <c r="E142" s="6" t="s">
        <v>1899</v>
      </c>
      <c r="F142" s="6" t="s">
        <v>422</v>
      </c>
      <c r="G142" s="6" t="s">
        <v>794</v>
      </c>
      <c r="H142" s="6" t="s">
        <v>324</v>
      </c>
      <c r="I142" s="6" t="s">
        <v>140</v>
      </c>
      <c r="J142" s="6">
        <v>3527570</v>
      </c>
      <c r="K142" s="6">
        <v>528</v>
      </c>
      <c r="L142" s="6">
        <v>8851</v>
      </c>
      <c r="M142" s="6" t="s">
        <v>651</v>
      </c>
      <c r="N142" s="6">
        <v>4056</v>
      </c>
      <c r="O142" s="6">
        <v>36</v>
      </c>
      <c r="P142" s="6">
        <v>0</v>
      </c>
      <c r="Q142" s="6">
        <v>0</v>
      </c>
      <c r="R142" s="6">
        <v>1794</v>
      </c>
      <c r="S142" s="6">
        <v>1690</v>
      </c>
      <c r="T142" s="6" t="s">
        <v>864</v>
      </c>
      <c r="U142" s="6" t="s">
        <v>864</v>
      </c>
    </row>
    <row r="143" spans="1:21">
      <c r="A143" t="s">
        <v>423</v>
      </c>
      <c r="B143" t="s">
        <v>164</v>
      </c>
      <c r="C143" t="s">
        <v>421</v>
      </c>
      <c r="D143" s="6" t="s">
        <v>1115</v>
      </c>
      <c r="E143" s="6" t="s">
        <v>1900</v>
      </c>
      <c r="F143" s="6" t="s">
        <v>424</v>
      </c>
      <c r="G143" s="6" t="s">
        <v>795</v>
      </c>
      <c r="H143" s="6" t="s">
        <v>324</v>
      </c>
      <c r="I143" s="6" t="s">
        <v>140</v>
      </c>
      <c r="J143" s="6">
        <v>5029938</v>
      </c>
      <c r="K143" s="6">
        <v>110</v>
      </c>
      <c r="L143" s="6">
        <v>74602</v>
      </c>
      <c r="M143" s="6" t="s">
        <v>652</v>
      </c>
      <c r="N143" s="6">
        <v>5205</v>
      </c>
      <c r="O143" s="6">
        <v>43</v>
      </c>
      <c r="P143" s="6">
        <v>0</v>
      </c>
      <c r="Q143" s="6">
        <v>0</v>
      </c>
      <c r="R143" s="6">
        <v>2055</v>
      </c>
      <c r="S143" s="6">
        <v>2386</v>
      </c>
      <c r="T143" s="6" t="s">
        <v>864</v>
      </c>
      <c r="U143" s="6" t="s">
        <v>864</v>
      </c>
    </row>
    <row r="144" spans="1:21">
      <c r="A144" t="s">
        <v>425</v>
      </c>
      <c r="B144" t="s">
        <v>164</v>
      </c>
      <c r="C144" t="s">
        <v>421</v>
      </c>
      <c r="D144" s="6" t="s">
        <v>1117</v>
      </c>
      <c r="E144" s="6" t="s">
        <v>1901</v>
      </c>
      <c r="F144" s="6" t="s">
        <v>426</v>
      </c>
      <c r="G144" s="6" t="s">
        <v>796</v>
      </c>
      <c r="H144" s="6" t="s">
        <v>324</v>
      </c>
      <c r="I144" s="6" t="s">
        <v>140</v>
      </c>
      <c r="J144" s="6">
        <v>4191314</v>
      </c>
      <c r="K144" s="6">
        <v>394</v>
      </c>
      <c r="L144" s="6">
        <v>14160</v>
      </c>
      <c r="M144" s="6" t="s">
        <v>653</v>
      </c>
      <c r="N144" s="6">
        <v>4463</v>
      </c>
      <c r="O144" s="6">
        <v>34</v>
      </c>
      <c r="P144" s="6">
        <v>0</v>
      </c>
      <c r="Q144" s="6">
        <v>0</v>
      </c>
      <c r="R144" s="6">
        <v>1893</v>
      </c>
      <c r="S144" s="6">
        <v>1844</v>
      </c>
      <c r="T144" s="6" t="s">
        <v>864</v>
      </c>
      <c r="U144" s="6" t="s">
        <v>864</v>
      </c>
    </row>
    <row r="145" spans="1:21">
      <c r="A145" t="s">
        <v>427</v>
      </c>
      <c r="B145" t="s">
        <v>164</v>
      </c>
      <c r="C145" t="s">
        <v>421</v>
      </c>
      <c r="D145" s="6" t="s">
        <v>1119</v>
      </c>
      <c r="E145" s="6" t="s">
        <v>1902</v>
      </c>
      <c r="F145" s="6" t="s">
        <v>428</v>
      </c>
      <c r="G145" s="6" t="s">
        <v>797</v>
      </c>
      <c r="H145" s="6" t="s">
        <v>324</v>
      </c>
      <c r="I145" s="6" t="s">
        <v>140</v>
      </c>
      <c r="J145" s="6">
        <v>2710827</v>
      </c>
      <c r="K145" s="6">
        <v>348</v>
      </c>
      <c r="L145" s="6">
        <v>9633</v>
      </c>
      <c r="M145" s="6" t="s">
        <v>654</v>
      </c>
      <c r="N145" s="6">
        <v>3027</v>
      </c>
      <c r="O145" s="6">
        <v>21</v>
      </c>
      <c r="P145" s="6">
        <v>0</v>
      </c>
      <c r="Q145" s="6">
        <v>0</v>
      </c>
      <c r="R145" s="6">
        <v>1442</v>
      </c>
      <c r="S145" s="6">
        <v>1205</v>
      </c>
      <c r="T145" s="6" t="s">
        <v>864</v>
      </c>
      <c r="U145" s="6" t="s">
        <v>864</v>
      </c>
    </row>
    <row r="146" spans="1:21">
      <c r="A146" t="s">
        <v>429</v>
      </c>
      <c r="B146" t="s">
        <v>164</v>
      </c>
      <c r="C146" t="s">
        <v>421</v>
      </c>
      <c r="D146" s="6" t="s">
        <v>1121</v>
      </c>
      <c r="E146" s="6" t="s">
        <v>1903</v>
      </c>
      <c r="F146" s="6" t="s">
        <v>430</v>
      </c>
      <c r="G146" s="6" t="s">
        <v>798</v>
      </c>
      <c r="H146" s="6" t="s">
        <v>324</v>
      </c>
      <c r="I146" s="6" t="s">
        <v>140</v>
      </c>
      <c r="J146" s="6">
        <v>4049068</v>
      </c>
      <c r="K146" s="6">
        <v>383</v>
      </c>
      <c r="L146" s="6">
        <v>14762</v>
      </c>
      <c r="M146" s="6" t="s">
        <v>655</v>
      </c>
      <c r="N146" s="6">
        <v>4424</v>
      </c>
      <c r="O146" s="6">
        <v>34</v>
      </c>
      <c r="P146" s="6">
        <v>0</v>
      </c>
      <c r="Q146" s="6">
        <v>20</v>
      </c>
      <c r="R146" s="6">
        <v>1883</v>
      </c>
      <c r="S146" s="6">
        <v>1778</v>
      </c>
      <c r="T146" s="6" t="s">
        <v>864</v>
      </c>
      <c r="U146" s="6" t="s">
        <v>864</v>
      </c>
    </row>
    <row r="147" spans="1:21">
      <c r="A147" t="s">
        <v>431</v>
      </c>
      <c r="B147" t="s">
        <v>164</v>
      </c>
      <c r="C147" t="s">
        <v>421</v>
      </c>
      <c r="D147" s="6" t="s">
        <v>1123</v>
      </c>
      <c r="E147" s="6" t="s">
        <v>1904</v>
      </c>
      <c r="F147" s="6" t="s">
        <v>432</v>
      </c>
      <c r="G147" s="6" t="s">
        <v>799</v>
      </c>
      <c r="H147" s="6" t="s">
        <v>324</v>
      </c>
      <c r="I147" s="6" t="s">
        <v>140</v>
      </c>
      <c r="J147" s="6">
        <v>2879782</v>
      </c>
      <c r="K147" s="6">
        <v>429</v>
      </c>
      <c r="L147" s="6">
        <v>7852</v>
      </c>
      <c r="M147" s="6" t="s">
        <v>656</v>
      </c>
      <c r="N147" s="6">
        <v>3250</v>
      </c>
      <c r="O147" s="6">
        <v>14</v>
      </c>
      <c r="P147" s="6">
        <v>0</v>
      </c>
      <c r="Q147" s="6">
        <v>0</v>
      </c>
      <c r="R147" s="6">
        <v>1568</v>
      </c>
      <c r="S147" s="6">
        <v>1177</v>
      </c>
      <c r="T147" s="6" t="s">
        <v>864</v>
      </c>
      <c r="U147" s="6" t="s">
        <v>864</v>
      </c>
    </row>
    <row r="148" spans="1:21">
      <c r="A148" t="s">
        <v>433</v>
      </c>
      <c r="B148" t="s">
        <v>164</v>
      </c>
      <c r="C148" t="s">
        <v>434</v>
      </c>
      <c r="D148" s="6" t="s">
        <v>1126</v>
      </c>
      <c r="E148" s="6" t="s">
        <v>1905</v>
      </c>
      <c r="F148" s="6" t="s">
        <v>435</v>
      </c>
      <c r="G148" s="6" t="s">
        <v>800</v>
      </c>
      <c r="H148" s="6" t="s">
        <v>324</v>
      </c>
      <c r="I148" s="6" t="s">
        <v>140</v>
      </c>
      <c r="J148" s="6">
        <v>4425407</v>
      </c>
      <c r="K148" s="6">
        <v>230</v>
      </c>
      <c r="L148" s="6">
        <v>32898</v>
      </c>
      <c r="M148" s="6" t="s">
        <v>657</v>
      </c>
      <c r="N148" s="6">
        <v>4679</v>
      </c>
      <c r="O148" s="6">
        <v>32</v>
      </c>
      <c r="P148" s="6">
        <v>0</v>
      </c>
      <c r="Q148" s="6">
        <v>34</v>
      </c>
      <c r="R148" s="6">
        <v>2215</v>
      </c>
      <c r="S148" s="6">
        <v>1802</v>
      </c>
      <c r="T148" s="6" t="s">
        <v>864</v>
      </c>
      <c r="U148" s="6" t="s">
        <v>864</v>
      </c>
    </row>
    <row r="149" spans="1:21">
      <c r="A149" t="s">
        <v>436</v>
      </c>
      <c r="B149" t="s">
        <v>164</v>
      </c>
      <c r="C149" t="s">
        <v>434</v>
      </c>
      <c r="D149" s="6" t="s">
        <v>1128</v>
      </c>
      <c r="E149" s="6" t="s">
        <v>1906</v>
      </c>
      <c r="F149" s="6" t="s">
        <v>437</v>
      </c>
      <c r="G149" s="6" t="s">
        <v>801</v>
      </c>
      <c r="H149" s="6" t="s">
        <v>324</v>
      </c>
      <c r="I149" s="6" t="s">
        <v>140</v>
      </c>
      <c r="J149" s="6">
        <v>4719478</v>
      </c>
      <c r="K149" s="6">
        <v>541</v>
      </c>
      <c r="L149" s="6">
        <v>14332</v>
      </c>
      <c r="M149" s="6" t="s">
        <v>658</v>
      </c>
      <c r="N149" s="6">
        <v>5434</v>
      </c>
      <c r="O149" s="6">
        <v>33</v>
      </c>
      <c r="P149" s="6">
        <v>0</v>
      </c>
      <c r="Q149" s="6">
        <v>0</v>
      </c>
      <c r="R149" s="6">
        <v>2276</v>
      </c>
      <c r="S149" s="6">
        <v>2176</v>
      </c>
      <c r="T149" s="6" t="s">
        <v>864</v>
      </c>
      <c r="U149" s="6" t="s">
        <v>864</v>
      </c>
    </row>
    <row r="150" spans="1:21">
      <c r="A150" t="s">
        <v>438</v>
      </c>
      <c r="B150" t="s">
        <v>164</v>
      </c>
      <c r="C150" t="s">
        <v>434</v>
      </c>
      <c r="D150" s="6" t="s">
        <v>1130</v>
      </c>
      <c r="E150" s="6" t="s">
        <v>1907</v>
      </c>
      <c r="F150" s="6" t="s">
        <v>439</v>
      </c>
      <c r="G150" s="6" t="s">
        <v>802</v>
      </c>
      <c r="H150" s="6" t="s">
        <v>324</v>
      </c>
      <c r="I150" s="6" t="s">
        <v>140</v>
      </c>
      <c r="J150" s="6">
        <v>4453400</v>
      </c>
      <c r="K150" s="6">
        <v>284</v>
      </c>
      <c r="L150" s="6">
        <v>24980</v>
      </c>
      <c r="M150" s="6" t="s">
        <v>659</v>
      </c>
      <c r="N150" s="6">
        <v>4777</v>
      </c>
      <c r="O150" s="6">
        <v>39</v>
      </c>
      <c r="P150" s="6">
        <v>0</v>
      </c>
      <c r="Q150" s="6">
        <v>8</v>
      </c>
      <c r="R150" s="6">
        <v>2219</v>
      </c>
      <c r="S150" s="6">
        <v>1850</v>
      </c>
      <c r="T150" s="6" t="s">
        <v>864</v>
      </c>
      <c r="U150" s="6" t="s">
        <v>864</v>
      </c>
    </row>
    <row r="151" spans="1:21">
      <c r="A151" t="s">
        <v>130</v>
      </c>
      <c r="B151" t="s">
        <v>131</v>
      </c>
      <c r="C151" t="s">
        <v>132</v>
      </c>
      <c r="D151" s="6" t="s">
        <v>1407</v>
      </c>
      <c r="E151" s="6" t="s">
        <v>1908</v>
      </c>
      <c r="F151" s="6" t="s">
        <v>134</v>
      </c>
      <c r="G151" s="6" t="s">
        <v>730</v>
      </c>
      <c r="H151" s="6" t="s">
        <v>12</v>
      </c>
      <c r="I151" s="6" t="s">
        <v>135</v>
      </c>
      <c r="J151" s="6">
        <v>6106602</v>
      </c>
      <c r="K151" s="6">
        <v>5</v>
      </c>
      <c r="L151" s="6">
        <v>5860510</v>
      </c>
      <c r="M151" s="6" t="s">
        <v>561</v>
      </c>
      <c r="N151" s="6">
        <v>6325</v>
      </c>
      <c r="O151" s="6">
        <v>69</v>
      </c>
      <c r="P151" s="6">
        <v>216</v>
      </c>
      <c r="Q151" s="6">
        <v>0</v>
      </c>
      <c r="R151" s="6">
        <v>2122</v>
      </c>
      <c r="S151" s="6">
        <v>3287</v>
      </c>
      <c r="T151" s="6" t="s">
        <v>863</v>
      </c>
      <c r="U151" s="6" t="s">
        <v>863</v>
      </c>
    </row>
    <row r="152" spans="1:21">
      <c r="A152" t="s">
        <v>440</v>
      </c>
      <c r="B152" t="s">
        <v>164</v>
      </c>
      <c r="C152" t="s">
        <v>434</v>
      </c>
      <c r="D152" s="6" t="s">
        <v>1132</v>
      </c>
      <c r="E152" s="6" t="s">
        <v>1909</v>
      </c>
      <c r="F152" s="6" t="s">
        <v>441</v>
      </c>
      <c r="G152" s="6" t="s">
        <v>803</v>
      </c>
      <c r="H152" s="6" t="s">
        <v>324</v>
      </c>
      <c r="I152" s="6" t="s">
        <v>140</v>
      </c>
      <c r="J152" s="6">
        <v>3278937</v>
      </c>
      <c r="K152" s="6">
        <v>602</v>
      </c>
      <c r="L152" s="6">
        <v>6259</v>
      </c>
      <c r="M152" s="6" t="s">
        <v>660</v>
      </c>
      <c r="N152" s="6">
        <v>3852</v>
      </c>
      <c r="O152" s="6">
        <v>21</v>
      </c>
      <c r="P152" s="6">
        <v>0</v>
      </c>
      <c r="Q152" s="6">
        <v>0</v>
      </c>
      <c r="R152" s="6">
        <v>1797</v>
      </c>
      <c r="S152" s="6">
        <v>1448</v>
      </c>
      <c r="T152" s="6" t="s">
        <v>864</v>
      </c>
      <c r="U152" s="6" t="s">
        <v>864</v>
      </c>
    </row>
    <row r="153" spans="1:21">
      <c r="A153" t="s">
        <v>442</v>
      </c>
      <c r="B153" t="s">
        <v>164</v>
      </c>
      <c r="C153" t="s">
        <v>434</v>
      </c>
      <c r="D153" s="6" t="s">
        <v>1134</v>
      </c>
      <c r="E153" s="6" t="s">
        <v>1910</v>
      </c>
      <c r="F153" s="6" t="s">
        <v>443</v>
      </c>
      <c r="G153" s="6" t="s">
        <v>804</v>
      </c>
      <c r="H153" s="6" t="s">
        <v>324</v>
      </c>
      <c r="I153" s="6" t="s">
        <v>140</v>
      </c>
      <c r="J153" s="6">
        <v>3017433</v>
      </c>
      <c r="K153" s="6">
        <v>744</v>
      </c>
      <c r="L153" s="6">
        <v>4339</v>
      </c>
      <c r="M153" s="6" t="s">
        <v>661</v>
      </c>
      <c r="N153" s="6">
        <v>3778</v>
      </c>
      <c r="O153" s="6">
        <v>25</v>
      </c>
      <c r="P153" s="6">
        <v>0</v>
      </c>
      <c r="Q153" s="6">
        <v>0</v>
      </c>
      <c r="R153" s="6">
        <v>1714</v>
      </c>
      <c r="S153" s="6">
        <v>1462</v>
      </c>
      <c r="T153" s="6" t="s">
        <v>864</v>
      </c>
      <c r="U153" s="6" t="s">
        <v>864</v>
      </c>
    </row>
    <row r="154" spans="1:21">
      <c r="A154" t="s">
        <v>444</v>
      </c>
      <c r="B154" t="s">
        <v>164</v>
      </c>
      <c r="C154" t="s">
        <v>434</v>
      </c>
      <c r="D154" s="6" t="s">
        <v>1136</v>
      </c>
      <c r="E154" s="6" t="s">
        <v>1911</v>
      </c>
      <c r="F154" s="6" t="s">
        <v>445</v>
      </c>
      <c r="G154" s="6" t="s">
        <v>805</v>
      </c>
      <c r="H154" s="6" t="s">
        <v>324</v>
      </c>
      <c r="I154" s="6" t="s">
        <v>140</v>
      </c>
      <c r="J154" s="6">
        <v>3584002</v>
      </c>
      <c r="K154" s="6">
        <v>159</v>
      </c>
      <c r="L154" s="6">
        <v>32428</v>
      </c>
      <c r="M154" s="6" t="s">
        <v>662</v>
      </c>
      <c r="N154" s="6">
        <v>3723</v>
      </c>
      <c r="O154" s="6">
        <v>28</v>
      </c>
      <c r="P154" s="6">
        <v>0</v>
      </c>
      <c r="Q154" s="6">
        <v>0</v>
      </c>
      <c r="R154" s="6">
        <v>1956</v>
      </c>
      <c r="S154" s="6">
        <v>1387</v>
      </c>
      <c r="T154" s="6" t="s">
        <v>864</v>
      </c>
      <c r="U154" s="6" t="s">
        <v>864</v>
      </c>
    </row>
    <row r="155" spans="1:21">
      <c r="A155" t="s">
        <v>467</v>
      </c>
      <c r="B155" t="s">
        <v>289</v>
      </c>
      <c r="C155" t="s">
        <v>10</v>
      </c>
      <c r="D155" s="6" t="s">
        <v>1147</v>
      </c>
      <c r="E155" s="6" t="s">
        <v>1912</v>
      </c>
      <c r="F155" s="6" t="s">
        <v>468</v>
      </c>
      <c r="G155" s="6" t="s">
        <v>814</v>
      </c>
      <c r="H155" s="6" t="s">
        <v>324</v>
      </c>
      <c r="I155" s="6" t="s">
        <v>374</v>
      </c>
      <c r="J155" s="6">
        <v>2581158</v>
      </c>
      <c r="K155" s="6">
        <v>1164</v>
      </c>
      <c r="L155" s="6">
        <v>2310</v>
      </c>
      <c r="M155" s="6" t="s">
        <v>671</v>
      </c>
      <c r="N155" s="6">
        <v>3612</v>
      </c>
      <c r="O155" s="6">
        <v>19</v>
      </c>
      <c r="P155" s="6">
        <v>0</v>
      </c>
      <c r="Q155" s="6">
        <v>0</v>
      </c>
      <c r="R155" s="6">
        <v>1322</v>
      </c>
      <c r="S155" s="6">
        <v>1847</v>
      </c>
      <c r="T155" s="6" t="s">
        <v>864</v>
      </c>
      <c r="U155" s="6" t="s">
        <v>864</v>
      </c>
    </row>
    <row r="156" spans="1:21">
      <c r="A156" t="s">
        <v>484</v>
      </c>
      <c r="B156" t="s">
        <v>289</v>
      </c>
      <c r="C156" t="s">
        <v>10</v>
      </c>
      <c r="D156" s="6" t="s">
        <v>1149</v>
      </c>
      <c r="E156" s="6" t="s">
        <v>1913</v>
      </c>
      <c r="F156" s="6" t="s">
        <v>485</v>
      </c>
      <c r="G156" s="6" t="s">
        <v>820</v>
      </c>
      <c r="H156" s="6" t="s">
        <v>324</v>
      </c>
      <c r="I156" s="6" t="s">
        <v>140</v>
      </c>
      <c r="J156" s="6">
        <v>4402426</v>
      </c>
      <c r="K156" s="6">
        <v>186</v>
      </c>
      <c r="L156" s="6">
        <v>41940</v>
      </c>
      <c r="M156" s="6" t="s">
        <v>677</v>
      </c>
      <c r="N156" s="6">
        <v>4651</v>
      </c>
      <c r="O156" s="6">
        <v>42</v>
      </c>
      <c r="P156" s="6">
        <v>0</v>
      </c>
      <c r="Q156" s="6">
        <v>0</v>
      </c>
      <c r="R156" s="6">
        <v>1808</v>
      </c>
      <c r="S156" s="6">
        <v>2332</v>
      </c>
      <c r="T156" s="6" t="s">
        <v>864</v>
      </c>
      <c r="U156" s="6" t="s">
        <v>864</v>
      </c>
    </row>
    <row r="157" spans="1:21">
      <c r="A157" t="s">
        <v>486</v>
      </c>
      <c r="B157" t="s">
        <v>289</v>
      </c>
      <c r="C157" t="s">
        <v>10</v>
      </c>
      <c r="D157" s="6" t="s">
        <v>1151</v>
      </c>
      <c r="E157" s="6" t="s">
        <v>1914</v>
      </c>
      <c r="F157" s="6" t="s">
        <v>487</v>
      </c>
      <c r="G157" s="6" t="s">
        <v>821</v>
      </c>
      <c r="H157" s="6" t="s">
        <v>324</v>
      </c>
      <c r="I157" s="6" t="s">
        <v>140</v>
      </c>
      <c r="J157" s="6">
        <v>2176048</v>
      </c>
      <c r="K157" s="6">
        <v>548</v>
      </c>
      <c r="L157" s="6">
        <v>4301</v>
      </c>
      <c r="M157" s="6" t="s">
        <v>678</v>
      </c>
      <c r="N157" s="6">
        <v>2579</v>
      </c>
      <c r="O157" s="6">
        <v>24</v>
      </c>
      <c r="P157" s="6">
        <v>0</v>
      </c>
      <c r="Q157" s="6">
        <v>0</v>
      </c>
      <c r="R157" s="6">
        <v>1187</v>
      </c>
      <c r="S157" s="6">
        <v>1192</v>
      </c>
      <c r="T157" s="6" t="s">
        <v>864</v>
      </c>
      <c r="U157" s="6" t="s">
        <v>864</v>
      </c>
    </row>
    <row r="158" spans="1:21">
      <c r="A158" t="s">
        <v>488</v>
      </c>
      <c r="B158" t="s">
        <v>289</v>
      </c>
      <c r="C158" t="s">
        <v>10</v>
      </c>
      <c r="D158" s="6" t="s">
        <v>1153</v>
      </c>
      <c r="E158" s="6" t="s">
        <v>1915</v>
      </c>
      <c r="F158" s="6" t="s">
        <v>489</v>
      </c>
      <c r="G158" s="6" t="s">
        <v>822</v>
      </c>
      <c r="H158" s="6" t="s">
        <v>324</v>
      </c>
      <c r="I158" s="6" t="s">
        <v>140</v>
      </c>
      <c r="J158" s="6">
        <v>3105763</v>
      </c>
      <c r="K158" s="6">
        <v>228</v>
      </c>
      <c r="L158" s="6">
        <v>19925</v>
      </c>
      <c r="M158" s="6" t="s">
        <v>679</v>
      </c>
      <c r="N158" s="6">
        <v>3392</v>
      </c>
      <c r="O158" s="6">
        <v>33</v>
      </c>
      <c r="P158" s="6">
        <v>0</v>
      </c>
      <c r="Q158" s="6">
        <v>0</v>
      </c>
      <c r="R158" s="6">
        <v>1537</v>
      </c>
      <c r="S158" s="6">
        <v>1454</v>
      </c>
      <c r="T158" s="6" t="s">
        <v>864</v>
      </c>
      <c r="U158" s="6" t="s">
        <v>864</v>
      </c>
    </row>
    <row r="159" spans="1:21">
      <c r="A159" t="s">
        <v>490</v>
      </c>
      <c r="B159" t="s">
        <v>289</v>
      </c>
      <c r="C159" t="s">
        <v>10</v>
      </c>
      <c r="D159" s="6" t="s">
        <v>1155</v>
      </c>
      <c r="E159" s="6" t="s">
        <v>1916</v>
      </c>
      <c r="F159" s="6" t="s">
        <v>491</v>
      </c>
      <c r="G159" s="6" t="s">
        <v>823</v>
      </c>
      <c r="H159" s="6" t="s">
        <v>324</v>
      </c>
      <c r="I159" s="6" t="s">
        <v>140</v>
      </c>
      <c r="J159" s="6">
        <v>3543954</v>
      </c>
      <c r="K159" s="6">
        <v>292</v>
      </c>
      <c r="L159" s="6">
        <v>17610</v>
      </c>
      <c r="M159" s="6" t="s">
        <v>680</v>
      </c>
      <c r="N159" s="6">
        <v>3905</v>
      </c>
      <c r="O159" s="6">
        <v>31</v>
      </c>
      <c r="P159" s="6">
        <v>0</v>
      </c>
      <c r="Q159" s="6">
        <v>0</v>
      </c>
      <c r="R159" s="6">
        <v>1726</v>
      </c>
      <c r="S159" s="6">
        <v>1764</v>
      </c>
      <c r="T159" s="6" t="s">
        <v>864</v>
      </c>
      <c r="U159" s="6" t="s">
        <v>864</v>
      </c>
    </row>
    <row r="160" spans="1:21">
      <c r="A160" t="s">
        <v>492</v>
      </c>
      <c r="B160" t="s">
        <v>289</v>
      </c>
      <c r="C160" t="s">
        <v>10</v>
      </c>
      <c r="D160" s="6" t="s">
        <v>1157</v>
      </c>
      <c r="E160" s="6" t="s">
        <v>1917</v>
      </c>
      <c r="F160" s="6" t="s">
        <v>493</v>
      </c>
      <c r="G160" s="6" t="s">
        <v>824</v>
      </c>
      <c r="H160" s="6" t="s">
        <v>324</v>
      </c>
      <c r="I160" s="6" t="s">
        <v>140</v>
      </c>
      <c r="J160" s="6">
        <v>3764048</v>
      </c>
      <c r="K160" s="6">
        <v>249</v>
      </c>
      <c r="L160" s="6">
        <v>20713</v>
      </c>
      <c r="M160" s="6" t="s">
        <v>681</v>
      </c>
      <c r="N160" s="6">
        <v>3995</v>
      </c>
      <c r="O160" s="6">
        <v>32</v>
      </c>
      <c r="P160" s="6">
        <v>0</v>
      </c>
      <c r="Q160" s="6">
        <v>0</v>
      </c>
      <c r="R160" s="6">
        <v>1736</v>
      </c>
      <c r="S160" s="6">
        <v>1696</v>
      </c>
      <c r="T160" s="6" t="s">
        <v>864</v>
      </c>
      <c r="U160" s="6" t="s">
        <v>864</v>
      </c>
    </row>
    <row r="161" spans="1:21">
      <c r="A161" t="s">
        <v>494</v>
      </c>
      <c r="B161" t="s">
        <v>289</v>
      </c>
      <c r="C161" t="s">
        <v>10</v>
      </c>
      <c r="D161" s="6" t="s">
        <v>1159</v>
      </c>
      <c r="E161" s="6" t="s">
        <v>1918</v>
      </c>
      <c r="F161" s="6" t="s">
        <v>495</v>
      </c>
      <c r="G161" s="6" t="s">
        <v>825</v>
      </c>
      <c r="H161" s="6" t="s">
        <v>324</v>
      </c>
      <c r="I161" s="6" t="s">
        <v>140</v>
      </c>
      <c r="J161" s="6">
        <v>2011403</v>
      </c>
      <c r="K161" s="6">
        <v>486</v>
      </c>
      <c r="L161" s="6">
        <v>4512</v>
      </c>
      <c r="M161" s="6" t="s">
        <v>682</v>
      </c>
      <c r="N161" s="6">
        <v>2400</v>
      </c>
      <c r="O161" s="6">
        <v>17</v>
      </c>
      <c r="P161" s="6">
        <v>0</v>
      </c>
      <c r="Q161" s="6">
        <v>0</v>
      </c>
      <c r="R161" s="6">
        <v>1137</v>
      </c>
      <c r="S161" s="6">
        <v>1073</v>
      </c>
      <c r="T161" s="6" t="s">
        <v>864</v>
      </c>
      <c r="U161" s="6" t="s">
        <v>864</v>
      </c>
    </row>
    <row r="162" spans="1:21">
      <c r="A162" t="s">
        <v>159</v>
      </c>
      <c r="B162" t="s">
        <v>131</v>
      </c>
      <c r="C162" t="s">
        <v>160</v>
      </c>
      <c r="D162" s="6" t="s">
        <v>1412</v>
      </c>
      <c r="E162" s="6" t="s">
        <v>1919</v>
      </c>
      <c r="F162" s="6" t="s">
        <v>162</v>
      </c>
      <c r="G162" s="6" t="s">
        <v>737</v>
      </c>
      <c r="H162" s="6" t="s">
        <v>12</v>
      </c>
      <c r="I162" s="6" t="s">
        <v>135</v>
      </c>
      <c r="J162" s="6">
        <v>4231322</v>
      </c>
      <c r="K162" s="6">
        <v>1</v>
      </c>
      <c r="L162" s="6">
        <v>4231322</v>
      </c>
      <c r="M162" s="6" t="s">
        <v>568</v>
      </c>
      <c r="N162" s="6">
        <v>4144</v>
      </c>
      <c r="O162" s="6">
        <v>58</v>
      </c>
      <c r="P162" s="6">
        <v>22</v>
      </c>
      <c r="Q162" s="6">
        <v>0</v>
      </c>
      <c r="R162" s="6">
        <v>1992</v>
      </c>
      <c r="S162" s="6">
        <v>1618</v>
      </c>
      <c r="T162" s="6" t="s">
        <v>863</v>
      </c>
      <c r="U162" s="6" t="s">
        <v>863</v>
      </c>
    </row>
    <row r="163" spans="1:21">
      <c r="A163" t="s">
        <v>496</v>
      </c>
      <c r="B163" t="s">
        <v>289</v>
      </c>
      <c r="C163" t="s">
        <v>10</v>
      </c>
      <c r="D163" s="6" t="s">
        <v>1161</v>
      </c>
      <c r="E163" s="6" t="s">
        <v>1920</v>
      </c>
      <c r="F163" s="6" t="s">
        <v>497</v>
      </c>
      <c r="G163" s="6" t="s">
        <v>826</v>
      </c>
      <c r="H163" s="6" t="s">
        <v>324</v>
      </c>
      <c r="I163" s="6" t="s">
        <v>140</v>
      </c>
      <c r="J163" s="6">
        <v>4404732</v>
      </c>
      <c r="K163" s="6">
        <v>86</v>
      </c>
      <c r="L163" s="6">
        <v>176370</v>
      </c>
      <c r="M163" s="6" t="s">
        <v>683</v>
      </c>
      <c r="N163" s="6">
        <v>4555</v>
      </c>
      <c r="O163" s="6">
        <v>44</v>
      </c>
      <c r="P163" s="6">
        <v>0</v>
      </c>
      <c r="Q163" s="6">
        <v>0</v>
      </c>
      <c r="R163" s="6">
        <v>1818</v>
      </c>
      <c r="S163" s="6">
        <v>2190</v>
      </c>
      <c r="T163" s="6" t="s">
        <v>863</v>
      </c>
      <c r="U163" s="6" t="s">
        <v>864</v>
      </c>
    </row>
    <row r="164" spans="1:21">
      <c r="A164" t="s">
        <v>329</v>
      </c>
      <c r="B164" t="s">
        <v>128</v>
      </c>
      <c r="C164" t="s">
        <v>10</v>
      </c>
      <c r="D164" s="6" t="s">
        <v>878</v>
      </c>
      <c r="E164" s="6" t="s">
        <v>1921</v>
      </c>
      <c r="F164" s="6" t="s">
        <v>330</v>
      </c>
      <c r="G164" s="6" t="s">
        <v>764</v>
      </c>
      <c r="H164" s="6" t="s">
        <v>324</v>
      </c>
      <c r="I164" s="6" t="s">
        <v>140</v>
      </c>
      <c r="J164" s="6">
        <v>2642145</v>
      </c>
      <c r="K164" s="6">
        <v>681</v>
      </c>
      <c r="L164" s="6">
        <v>4012</v>
      </c>
      <c r="M164" s="6" t="s">
        <v>621</v>
      </c>
      <c r="N164" s="6">
        <v>3395</v>
      </c>
      <c r="O164" s="6">
        <v>24</v>
      </c>
      <c r="P164" s="6">
        <v>0</v>
      </c>
      <c r="Q164" s="6">
        <v>14</v>
      </c>
      <c r="R164" s="6">
        <v>1361</v>
      </c>
      <c r="S164" s="6">
        <v>1594</v>
      </c>
      <c r="T164" s="6" t="s">
        <v>863</v>
      </c>
      <c r="U164" s="6" t="s">
        <v>864</v>
      </c>
    </row>
    <row r="165" spans="1:21">
      <c r="A165" t="s">
        <v>498</v>
      </c>
      <c r="B165" t="s">
        <v>289</v>
      </c>
      <c r="C165" t="s">
        <v>10</v>
      </c>
      <c r="D165" s="6" t="s">
        <v>1163</v>
      </c>
      <c r="E165" s="6" t="s">
        <v>1922</v>
      </c>
      <c r="F165" s="6" t="s">
        <v>499</v>
      </c>
      <c r="G165" s="6" t="s">
        <v>827</v>
      </c>
      <c r="H165" s="6" t="s">
        <v>324</v>
      </c>
      <c r="I165" s="6" t="s">
        <v>140</v>
      </c>
      <c r="J165" s="6">
        <v>4513375</v>
      </c>
      <c r="K165" s="6">
        <v>482</v>
      </c>
      <c r="L165" s="6">
        <v>12841</v>
      </c>
      <c r="M165" s="6" t="s">
        <v>684</v>
      </c>
      <c r="N165" s="6">
        <v>5272</v>
      </c>
      <c r="O165" s="6">
        <v>42</v>
      </c>
      <c r="P165" s="6">
        <v>0</v>
      </c>
      <c r="Q165" s="6">
        <v>0</v>
      </c>
      <c r="R165" s="6">
        <v>1705</v>
      </c>
      <c r="S165" s="6">
        <v>2983</v>
      </c>
      <c r="T165" s="6" t="s">
        <v>864</v>
      </c>
      <c r="U165" s="6" t="s">
        <v>864</v>
      </c>
    </row>
    <row r="166" spans="1:21">
      <c r="A166" t="s">
        <v>500</v>
      </c>
      <c r="B166" t="s">
        <v>289</v>
      </c>
      <c r="C166" t="s">
        <v>10</v>
      </c>
      <c r="D166" s="6" t="s">
        <v>1165</v>
      </c>
      <c r="E166" s="6" t="s">
        <v>1923</v>
      </c>
      <c r="F166" s="6" t="s">
        <v>501</v>
      </c>
      <c r="G166" s="6" t="s">
        <v>828</v>
      </c>
      <c r="H166" s="6" t="s">
        <v>324</v>
      </c>
      <c r="I166" s="6" t="s">
        <v>140</v>
      </c>
      <c r="J166" s="6">
        <v>2821068</v>
      </c>
      <c r="K166" s="6">
        <v>484</v>
      </c>
      <c r="L166" s="6">
        <v>7159</v>
      </c>
      <c r="M166" s="6" t="s">
        <v>685</v>
      </c>
      <c r="N166" s="6">
        <v>3348</v>
      </c>
      <c r="O166" s="6">
        <v>33</v>
      </c>
      <c r="P166" s="6">
        <v>0</v>
      </c>
      <c r="Q166" s="6">
        <v>0</v>
      </c>
      <c r="R166" s="6">
        <v>1417</v>
      </c>
      <c r="S166" s="6">
        <v>1621</v>
      </c>
      <c r="T166" s="6" t="s">
        <v>864</v>
      </c>
      <c r="U166" s="6" t="s">
        <v>864</v>
      </c>
    </row>
    <row r="167" spans="1:21">
      <c r="A167" t="s">
        <v>502</v>
      </c>
      <c r="B167" t="s">
        <v>289</v>
      </c>
      <c r="C167" t="s">
        <v>10</v>
      </c>
      <c r="D167" s="6" t="s">
        <v>1167</v>
      </c>
      <c r="E167" s="6" t="s">
        <v>1924</v>
      </c>
      <c r="F167" s="6" t="s">
        <v>503</v>
      </c>
      <c r="G167" s="6" t="s">
        <v>829</v>
      </c>
      <c r="H167" s="6" t="s">
        <v>324</v>
      </c>
      <c r="I167" s="6" t="s">
        <v>140</v>
      </c>
      <c r="J167" s="6">
        <v>3186652</v>
      </c>
      <c r="K167" s="6">
        <v>553</v>
      </c>
      <c r="L167" s="6">
        <v>6749</v>
      </c>
      <c r="M167" s="6" t="s">
        <v>686</v>
      </c>
      <c r="N167" s="6">
        <v>3784</v>
      </c>
      <c r="O167" s="6">
        <v>41</v>
      </c>
      <c r="P167" s="6">
        <v>0</v>
      </c>
      <c r="Q167" s="6">
        <v>0</v>
      </c>
      <c r="R167" s="6">
        <v>1410</v>
      </c>
      <c r="S167" s="6">
        <v>2047</v>
      </c>
      <c r="T167" s="6" t="s">
        <v>864</v>
      </c>
      <c r="U167" s="6" t="s">
        <v>864</v>
      </c>
    </row>
    <row r="168" spans="1:21">
      <c r="A168" t="s">
        <v>510</v>
      </c>
      <c r="B168" t="s">
        <v>294</v>
      </c>
      <c r="C168" t="s">
        <v>10</v>
      </c>
      <c r="D168" s="6" t="s">
        <v>1175</v>
      </c>
      <c r="E168" s="6" t="s">
        <v>1925</v>
      </c>
      <c r="F168" s="6" t="s">
        <v>511</v>
      </c>
      <c r="G168" s="6" t="s">
        <v>833</v>
      </c>
      <c r="H168" s="6" t="s">
        <v>324</v>
      </c>
      <c r="I168" s="6" t="s">
        <v>140</v>
      </c>
      <c r="J168" s="6">
        <v>3436633</v>
      </c>
      <c r="K168" s="6">
        <v>683</v>
      </c>
      <c r="L168" s="6">
        <v>5775</v>
      </c>
      <c r="M168" s="6" t="s">
        <v>690</v>
      </c>
      <c r="N168" s="6">
        <v>3979</v>
      </c>
      <c r="O168" s="6">
        <v>33</v>
      </c>
      <c r="P168" s="6">
        <v>0</v>
      </c>
      <c r="Q168" s="6">
        <v>0</v>
      </c>
      <c r="R168" s="6">
        <v>1737</v>
      </c>
      <c r="S168" s="6">
        <v>1598</v>
      </c>
      <c r="T168" s="6" t="s">
        <v>864</v>
      </c>
      <c r="U168" s="6" t="s">
        <v>864</v>
      </c>
    </row>
    <row r="169" spans="1:21">
      <c r="A169" t="s">
        <v>504</v>
      </c>
      <c r="B169" t="s">
        <v>289</v>
      </c>
      <c r="C169" t="s">
        <v>10</v>
      </c>
      <c r="D169" s="6" t="s">
        <v>1169</v>
      </c>
      <c r="E169" s="6" t="s">
        <v>1926</v>
      </c>
      <c r="F169" s="6" t="s">
        <v>505</v>
      </c>
      <c r="G169" s="6" t="s">
        <v>830</v>
      </c>
      <c r="H169" s="6" t="s">
        <v>324</v>
      </c>
      <c r="I169" s="6" t="s">
        <v>140</v>
      </c>
      <c r="J169" s="6">
        <v>3652841</v>
      </c>
      <c r="K169" s="6">
        <v>162</v>
      </c>
      <c r="L169" s="6">
        <v>40506</v>
      </c>
      <c r="M169" s="6" t="s">
        <v>687</v>
      </c>
      <c r="N169" s="6">
        <v>3864</v>
      </c>
      <c r="O169" s="6">
        <v>37</v>
      </c>
      <c r="P169" s="6">
        <v>0</v>
      </c>
      <c r="Q169" s="6">
        <v>0</v>
      </c>
      <c r="R169" s="6">
        <v>1696</v>
      </c>
      <c r="S169" s="6">
        <v>1776</v>
      </c>
      <c r="T169" s="6" t="s">
        <v>864</v>
      </c>
      <c r="U169" s="6" t="s">
        <v>864</v>
      </c>
    </row>
    <row r="170" spans="1:21">
      <c r="A170" t="s">
        <v>506</v>
      </c>
      <c r="B170" t="s">
        <v>289</v>
      </c>
      <c r="C170" t="s">
        <v>10</v>
      </c>
      <c r="D170" s="6" t="s">
        <v>1171</v>
      </c>
      <c r="E170" s="6" t="s">
        <v>1927</v>
      </c>
      <c r="F170" s="6" t="s">
        <v>507</v>
      </c>
      <c r="G170" s="6" t="s">
        <v>831</v>
      </c>
      <c r="H170" s="6" t="s">
        <v>324</v>
      </c>
      <c r="I170" s="6" t="s">
        <v>140</v>
      </c>
      <c r="J170" s="6">
        <v>3047177</v>
      </c>
      <c r="K170" s="6">
        <v>622</v>
      </c>
      <c r="L170" s="6">
        <v>5444</v>
      </c>
      <c r="M170" s="6" t="s">
        <v>688</v>
      </c>
      <c r="N170" s="6">
        <v>3636</v>
      </c>
      <c r="O170" s="6">
        <v>30</v>
      </c>
      <c r="P170" s="6">
        <v>0</v>
      </c>
      <c r="Q170" s="6">
        <v>0</v>
      </c>
      <c r="R170" s="6">
        <v>1452</v>
      </c>
      <c r="S170" s="6">
        <v>1762</v>
      </c>
      <c r="T170" s="6" t="s">
        <v>864</v>
      </c>
      <c r="U170" s="6" t="s">
        <v>864</v>
      </c>
    </row>
    <row r="171" spans="1:21">
      <c r="A171" t="s">
        <v>508</v>
      </c>
      <c r="B171" t="s">
        <v>289</v>
      </c>
      <c r="C171" t="s">
        <v>10</v>
      </c>
      <c r="D171" s="6" t="s">
        <v>1173</v>
      </c>
      <c r="E171" s="6" t="s">
        <v>1928</v>
      </c>
      <c r="F171" s="6" t="s">
        <v>509</v>
      </c>
      <c r="G171" s="6" t="s">
        <v>832</v>
      </c>
      <c r="H171" s="6" t="s">
        <v>324</v>
      </c>
      <c r="I171" s="6" t="s">
        <v>140</v>
      </c>
      <c r="J171" s="6">
        <v>2189998</v>
      </c>
      <c r="K171" s="6">
        <v>510</v>
      </c>
      <c r="L171" s="6">
        <v>4851</v>
      </c>
      <c r="M171" s="6" t="s">
        <v>689</v>
      </c>
      <c r="N171" s="6">
        <v>2794</v>
      </c>
      <c r="O171" s="6">
        <v>23</v>
      </c>
      <c r="P171" s="6">
        <v>0</v>
      </c>
      <c r="Q171" s="6">
        <v>0</v>
      </c>
      <c r="R171" s="6">
        <v>1209</v>
      </c>
      <c r="S171" s="6">
        <v>1296</v>
      </c>
      <c r="T171" s="6" t="s">
        <v>864</v>
      </c>
      <c r="U171" s="6" t="s">
        <v>864</v>
      </c>
    </row>
    <row r="172" spans="1:21">
      <c r="A172" t="s">
        <v>446</v>
      </c>
      <c r="B172" t="s">
        <v>289</v>
      </c>
      <c r="C172" t="s">
        <v>10</v>
      </c>
      <c r="D172" s="6" t="s">
        <v>1139</v>
      </c>
      <c r="E172" s="6" t="s">
        <v>1929</v>
      </c>
      <c r="F172" s="6" t="s">
        <v>447</v>
      </c>
      <c r="G172" s="6" t="s">
        <v>806</v>
      </c>
      <c r="H172" s="6" t="s">
        <v>324</v>
      </c>
      <c r="I172" s="6" t="s">
        <v>374</v>
      </c>
      <c r="J172" s="6">
        <v>3045502</v>
      </c>
      <c r="K172" s="6">
        <v>461</v>
      </c>
      <c r="L172" s="6">
        <v>8258</v>
      </c>
      <c r="M172" s="6" t="s">
        <v>663</v>
      </c>
      <c r="N172" s="6">
        <v>3507</v>
      </c>
      <c r="O172" s="6">
        <v>28</v>
      </c>
      <c r="P172" s="6">
        <v>0</v>
      </c>
      <c r="Q172" s="6">
        <v>0</v>
      </c>
      <c r="R172" s="6">
        <v>1546</v>
      </c>
      <c r="S172" s="6">
        <v>1619</v>
      </c>
      <c r="T172" s="6" t="s">
        <v>864</v>
      </c>
      <c r="U172" s="6" t="s">
        <v>864</v>
      </c>
    </row>
    <row r="173" spans="1:21">
      <c r="A173" t="s">
        <v>145</v>
      </c>
      <c r="B173" t="s">
        <v>131</v>
      </c>
      <c r="C173" t="s">
        <v>146</v>
      </c>
      <c r="D173" s="6" t="s">
        <v>1410</v>
      </c>
      <c r="E173" s="6" t="s">
        <v>1930</v>
      </c>
      <c r="F173" s="6" t="s">
        <v>148</v>
      </c>
      <c r="G173" s="6" t="s">
        <v>733</v>
      </c>
      <c r="H173" s="6" t="s">
        <v>12</v>
      </c>
      <c r="I173" s="6" t="s">
        <v>140</v>
      </c>
      <c r="J173" s="6">
        <v>7523782</v>
      </c>
      <c r="K173" s="6">
        <v>181</v>
      </c>
      <c r="L173" s="6">
        <v>180878</v>
      </c>
      <c r="M173" s="6" t="s">
        <v>564</v>
      </c>
      <c r="N173" s="6">
        <v>8063</v>
      </c>
      <c r="O173" s="6">
        <v>48</v>
      </c>
      <c r="P173" s="6">
        <v>0</v>
      </c>
      <c r="Q173" s="6">
        <v>0</v>
      </c>
      <c r="R173" s="6">
        <v>2411</v>
      </c>
      <c r="S173" s="6">
        <v>4078</v>
      </c>
      <c r="T173" s="6" t="s">
        <v>863</v>
      </c>
      <c r="U173" s="6" t="s">
        <v>863</v>
      </c>
    </row>
    <row r="174" spans="1:21">
      <c r="A174" t="s">
        <v>448</v>
      </c>
      <c r="B174" t="s">
        <v>164</v>
      </c>
      <c r="C174" t="s">
        <v>434</v>
      </c>
      <c r="D174" s="6" t="s">
        <v>1141</v>
      </c>
      <c r="E174" s="6" t="s">
        <v>1931</v>
      </c>
      <c r="F174" s="6" t="s">
        <v>449</v>
      </c>
      <c r="G174" s="6" t="s">
        <v>807</v>
      </c>
      <c r="H174" s="6" t="s">
        <v>324</v>
      </c>
      <c r="I174" s="6" t="s">
        <v>374</v>
      </c>
      <c r="J174" s="6">
        <v>4000853</v>
      </c>
      <c r="K174" s="6">
        <v>677</v>
      </c>
      <c r="L174" s="6">
        <v>6924</v>
      </c>
      <c r="M174" s="6" t="s">
        <v>664</v>
      </c>
      <c r="N174" s="6">
        <v>4662</v>
      </c>
      <c r="O174" s="6">
        <v>26</v>
      </c>
      <c r="P174" s="6">
        <v>0</v>
      </c>
      <c r="Q174" s="6">
        <v>0</v>
      </c>
      <c r="R174" s="6">
        <v>1972</v>
      </c>
      <c r="S174" s="6">
        <v>1986</v>
      </c>
      <c r="T174" s="6" t="s">
        <v>864</v>
      </c>
      <c r="U174" s="6" t="s">
        <v>864</v>
      </c>
    </row>
    <row r="175" spans="1:21">
      <c r="A175" t="s">
        <v>450</v>
      </c>
      <c r="B175" t="s">
        <v>289</v>
      </c>
      <c r="C175" t="s">
        <v>10</v>
      </c>
      <c r="D175" s="6" t="s">
        <v>1144</v>
      </c>
      <c r="E175" s="6" t="s">
        <v>1932</v>
      </c>
      <c r="F175" s="6" t="s">
        <v>451</v>
      </c>
      <c r="G175" s="6" t="s">
        <v>808</v>
      </c>
      <c r="H175" s="6" t="s">
        <v>324</v>
      </c>
      <c r="I175" s="6" t="s">
        <v>374</v>
      </c>
      <c r="J175" s="6">
        <v>3225372</v>
      </c>
      <c r="K175" s="6">
        <v>446</v>
      </c>
      <c r="L175" s="6">
        <v>10653</v>
      </c>
      <c r="M175" s="6" t="s">
        <v>665</v>
      </c>
      <c r="N175" s="6">
        <v>3455</v>
      </c>
      <c r="O175" s="6">
        <v>26</v>
      </c>
      <c r="P175" s="6">
        <v>0</v>
      </c>
      <c r="Q175" s="6">
        <v>0</v>
      </c>
      <c r="R175" s="6">
        <v>1582</v>
      </c>
      <c r="S175" s="6">
        <v>1515</v>
      </c>
      <c r="T175" s="6" t="s">
        <v>864</v>
      </c>
      <c r="U175" s="6" t="s">
        <v>864</v>
      </c>
    </row>
    <row r="176" spans="1:21">
      <c r="A176" t="s">
        <v>285</v>
      </c>
      <c r="B176" t="s">
        <v>252</v>
      </c>
      <c r="C176" t="s">
        <v>286</v>
      </c>
      <c r="D176" s="6" t="s">
        <v>1432</v>
      </c>
      <c r="E176" s="6" t="s">
        <v>1933</v>
      </c>
      <c r="F176" s="6" t="s">
        <v>287</v>
      </c>
      <c r="G176" s="6" t="s">
        <v>751</v>
      </c>
      <c r="H176" s="6" t="s">
        <v>12</v>
      </c>
      <c r="I176" s="6" t="s">
        <v>10</v>
      </c>
      <c r="J176" s="6">
        <v>4962262</v>
      </c>
      <c r="K176" s="6">
        <v>3</v>
      </c>
      <c r="L176" s="6">
        <v>4496051</v>
      </c>
      <c r="M176" s="6" t="s">
        <v>608</v>
      </c>
      <c r="N176" s="6">
        <v>4915</v>
      </c>
      <c r="O176" s="6">
        <v>54</v>
      </c>
      <c r="P176" s="6">
        <v>154</v>
      </c>
      <c r="Q176" s="6">
        <v>116</v>
      </c>
      <c r="R176" s="6">
        <v>1910</v>
      </c>
      <c r="S176" s="6">
        <v>2548</v>
      </c>
      <c r="T176" s="6" t="s">
        <v>863</v>
      </c>
      <c r="U176" s="6" t="s">
        <v>863</v>
      </c>
    </row>
    <row r="177" spans="1:21">
      <c r="A177" t="s">
        <v>273</v>
      </c>
      <c r="B177" t="s">
        <v>252</v>
      </c>
      <c r="C177" t="s">
        <v>274</v>
      </c>
      <c r="D177" s="6" t="s">
        <v>1429</v>
      </c>
      <c r="E177" s="6" t="s">
        <v>1934</v>
      </c>
      <c r="F177" s="6" t="s">
        <v>275</v>
      </c>
      <c r="G177" s="6" t="s">
        <v>747</v>
      </c>
      <c r="H177" s="6" t="s">
        <v>12</v>
      </c>
      <c r="I177" s="6" t="s">
        <v>10</v>
      </c>
      <c r="J177" s="6">
        <v>3912050</v>
      </c>
      <c r="K177" s="6">
        <v>2</v>
      </c>
      <c r="L177" s="6">
        <v>3546604</v>
      </c>
      <c r="M177" s="6" t="s">
        <v>604</v>
      </c>
      <c r="N177" s="6">
        <v>4329</v>
      </c>
      <c r="O177" s="6">
        <v>50</v>
      </c>
      <c r="P177" s="6">
        <v>78</v>
      </c>
      <c r="Q177" s="6">
        <v>0</v>
      </c>
      <c r="R177" s="6">
        <v>1952</v>
      </c>
      <c r="S177" s="6">
        <v>1941</v>
      </c>
      <c r="T177" s="6" t="s">
        <v>863</v>
      </c>
      <c r="U177" s="6" t="s">
        <v>863</v>
      </c>
    </row>
    <row r="178" spans="1:21">
      <c r="A178" t="s">
        <v>118</v>
      </c>
      <c r="B178" t="s">
        <v>94</v>
      </c>
      <c r="C178" t="s">
        <v>119</v>
      </c>
      <c r="D178" s="6" t="s">
        <v>1404</v>
      </c>
      <c r="E178" s="6" t="s">
        <v>1935</v>
      </c>
      <c r="F178" s="6" t="s">
        <v>120</v>
      </c>
      <c r="G178" s="6" t="s">
        <v>726</v>
      </c>
      <c r="H178" s="6" t="s">
        <v>12</v>
      </c>
      <c r="I178" s="6" t="s">
        <v>10</v>
      </c>
      <c r="J178" s="6">
        <v>4373820</v>
      </c>
      <c r="K178" s="6">
        <v>35</v>
      </c>
      <c r="L178" s="6">
        <v>426134</v>
      </c>
      <c r="M178" s="6" t="s">
        <v>557</v>
      </c>
      <c r="N178" s="6">
        <v>4310</v>
      </c>
      <c r="O178" s="6">
        <v>52</v>
      </c>
      <c r="P178" s="6">
        <v>0</v>
      </c>
      <c r="Q178" s="6">
        <v>26</v>
      </c>
      <c r="R178" s="6">
        <v>2235</v>
      </c>
      <c r="S178" s="6">
        <v>1432</v>
      </c>
      <c r="T178" s="6" t="s">
        <v>863</v>
      </c>
      <c r="U178" s="6" t="s">
        <v>863</v>
      </c>
    </row>
    <row r="179" spans="1:21">
      <c r="A179" t="s">
        <v>87</v>
      </c>
      <c r="B179" t="s">
        <v>51</v>
      </c>
      <c r="C179" t="s">
        <v>88</v>
      </c>
      <c r="D179" s="6" t="s">
        <v>1382</v>
      </c>
      <c r="E179" s="6" t="s">
        <v>1936</v>
      </c>
      <c r="F179" s="6" t="s">
        <v>89</v>
      </c>
      <c r="G179" s="6" t="s">
        <v>716</v>
      </c>
      <c r="H179" s="6" t="s">
        <v>12</v>
      </c>
      <c r="I179" s="6" t="s">
        <v>10</v>
      </c>
      <c r="J179" s="6">
        <v>6713548</v>
      </c>
      <c r="K179" s="6">
        <v>2</v>
      </c>
      <c r="L179" s="6">
        <v>6373793</v>
      </c>
      <c r="M179" s="6" t="s">
        <v>547</v>
      </c>
      <c r="N179" s="6">
        <v>6529</v>
      </c>
      <c r="O179" s="6">
        <v>54</v>
      </c>
      <c r="P179" s="6">
        <v>209</v>
      </c>
      <c r="Q179" s="6">
        <v>0</v>
      </c>
      <c r="R179" s="6">
        <v>2449</v>
      </c>
      <c r="S179" s="6">
        <v>2589</v>
      </c>
      <c r="T179" s="6" t="s">
        <v>863</v>
      </c>
      <c r="U179" s="6" t="s">
        <v>863</v>
      </c>
    </row>
    <row r="180" spans="1:21">
      <c r="A180" t="s">
        <v>72</v>
      </c>
      <c r="B180" t="s">
        <v>51</v>
      </c>
      <c r="C180" t="s">
        <v>73</v>
      </c>
      <c r="D180" s="12" t="s">
        <v>1953</v>
      </c>
      <c r="E180" s="6" t="s">
        <v>1937</v>
      </c>
      <c r="F180" s="6" t="s">
        <v>74</v>
      </c>
      <c r="G180" s="6" t="s">
        <v>711</v>
      </c>
      <c r="H180" s="6" t="s">
        <v>12</v>
      </c>
      <c r="I180" s="6" t="s">
        <v>10</v>
      </c>
      <c r="J180" s="6">
        <v>6392805</v>
      </c>
      <c r="K180" s="6">
        <v>58</v>
      </c>
      <c r="L180" s="6">
        <v>240942</v>
      </c>
      <c r="M180" s="6" t="s">
        <v>542</v>
      </c>
      <c r="N180" s="6">
        <v>6177</v>
      </c>
      <c r="O180" s="6">
        <v>52</v>
      </c>
      <c r="P180" s="6">
        <v>0</v>
      </c>
      <c r="Q180" s="6">
        <v>0</v>
      </c>
      <c r="R180" s="6">
        <v>2409</v>
      </c>
      <c r="S180" s="6">
        <v>2340</v>
      </c>
      <c r="T180" s="6" t="s">
        <v>863</v>
      </c>
      <c r="U180" s="6" t="s">
        <v>863</v>
      </c>
    </row>
    <row r="181" spans="1:21">
      <c r="A181" t="s">
        <v>16</v>
      </c>
      <c r="B181" t="s">
        <v>8</v>
      </c>
      <c r="C181" t="s">
        <v>17</v>
      </c>
      <c r="D181" s="6" t="s">
        <v>1377</v>
      </c>
      <c r="E181" s="6" t="s">
        <v>1938</v>
      </c>
      <c r="F181" s="6" t="s">
        <v>18</v>
      </c>
      <c r="G181" s="6" t="s">
        <v>693</v>
      </c>
      <c r="H181" s="6" t="s">
        <v>12</v>
      </c>
      <c r="I181" s="6" t="s">
        <v>10</v>
      </c>
      <c r="J181" s="6">
        <v>5190571</v>
      </c>
      <c r="K181" s="6">
        <v>96</v>
      </c>
      <c r="L181" s="6">
        <v>173971</v>
      </c>
      <c r="M181" s="6" t="s">
        <v>524</v>
      </c>
      <c r="N181" s="6">
        <v>5079</v>
      </c>
      <c r="O181" s="6">
        <v>49</v>
      </c>
      <c r="P181" s="6">
        <v>0</v>
      </c>
      <c r="Q181" s="6">
        <v>0</v>
      </c>
      <c r="R181" s="6">
        <v>2225</v>
      </c>
      <c r="S181" s="6">
        <v>2098</v>
      </c>
      <c r="T181" s="6" t="s">
        <v>863</v>
      </c>
      <c r="U181" s="6" t="s">
        <v>863</v>
      </c>
    </row>
    <row r="182" spans="1:21">
      <c r="A182" t="s">
        <v>282</v>
      </c>
      <c r="B182" t="s">
        <v>252</v>
      </c>
      <c r="C182" t="s">
        <v>283</v>
      </c>
      <c r="D182" s="6" t="s">
        <v>1433</v>
      </c>
      <c r="E182" s="6" t="s">
        <v>1939</v>
      </c>
      <c r="F182" s="6" t="s">
        <v>284</v>
      </c>
      <c r="G182" s="6" t="s">
        <v>750</v>
      </c>
      <c r="H182" s="6" t="s">
        <v>12</v>
      </c>
      <c r="I182" s="6" t="s">
        <v>10</v>
      </c>
      <c r="J182" s="6">
        <v>3785845</v>
      </c>
      <c r="K182" s="6">
        <v>55</v>
      </c>
      <c r="L182" s="6">
        <v>96528</v>
      </c>
      <c r="M182" s="6" t="s">
        <v>607</v>
      </c>
      <c r="N182" s="6">
        <v>3808</v>
      </c>
      <c r="O182" s="6">
        <v>40</v>
      </c>
      <c r="P182" s="6">
        <v>0</v>
      </c>
      <c r="Q182" s="6">
        <v>0</v>
      </c>
      <c r="R182" s="6">
        <v>1778</v>
      </c>
      <c r="S182" s="6">
        <v>1770</v>
      </c>
      <c r="T182" s="6" t="s">
        <v>863</v>
      </c>
      <c r="U182" s="6" t="s">
        <v>864</v>
      </c>
    </row>
    <row r="183" spans="1:21">
      <c r="A183" t="s">
        <v>54</v>
      </c>
      <c r="B183" t="s">
        <v>51</v>
      </c>
      <c r="C183" t="s">
        <v>55</v>
      </c>
      <c r="D183" s="6" t="s">
        <v>1394</v>
      </c>
      <c r="E183" s="6" t="s">
        <v>1940</v>
      </c>
      <c r="F183" s="6" t="s">
        <v>56</v>
      </c>
      <c r="G183" s="6" t="s">
        <v>705</v>
      </c>
      <c r="H183" s="6" t="s">
        <v>12</v>
      </c>
      <c r="I183" s="6" t="s">
        <v>10</v>
      </c>
      <c r="J183" s="6">
        <v>6173500</v>
      </c>
      <c r="K183" s="6">
        <v>42</v>
      </c>
      <c r="L183" s="6">
        <v>429739</v>
      </c>
      <c r="M183" s="6" t="s">
        <v>536</v>
      </c>
      <c r="N183" s="6">
        <v>5916</v>
      </c>
      <c r="O183" s="6">
        <v>51</v>
      </c>
      <c r="P183" s="6">
        <v>0</v>
      </c>
      <c r="Q183" s="6">
        <v>0</v>
      </c>
      <c r="R183" s="6">
        <v>2280</v>
      </c>
      <c r="S183" s="6">
        <v>2456</v>
      </c>
      <c r="T183" s="6" t="s">
        <v>863</v>
      </c>
      <c r="U183" s="6" t="s">
        <v>863</v>
      </c>
    </row>
    <row r="184" spans="1:21">
      <c r="A184" t="s">
        <v>149</v>
      </c>
      <c r="B184" t="s">
        <v>131</v>
      </c>
      <c r="C184" t="s">
        <v>150</v>
      </c>
      <c r="D184" s="6" t="s">
        <v>1413</v>
      </c>
      <c r="E184" s="6" t="s">
        <v>1941</v>
      </c>
      <c r="F184" s="6" t="s">
        <v>152</v>
      </c>
      <c r="G184" s="6" t="s">
        <v>734</v>
      </c>
      <c r="H184" s="6" t="s">
        <v>12</v>
      </c>
      <c r="I184" s="6" t="s">
        <v>153</v>
      </c>
      <c r="J184" s="6">
        <v>4779716</v>
      </c>
      <c r="K184" s="6">
        <v>235</v>
      </c>
      <c r="L184" s="6">
        <v>47720</v>
      </c>
      <c r="M184" s="6" t="s">
        <v>565</v>
      </c>
      <c r="N184" s="6">
        <v>4878</v>
      </c>
      <c r="O184" s="6">
        <v>48</v>
      </c>
      <c r="P184" s="6">
        <v>0</v>
      </c>
      <c r="Q184" s="6">
        <v>0</v>
      </c>
      <c r="R184" s="6">
        <v>1991</v>
      </c>
      <c r="S184" s="6">
        <v>2206</v>
      </c>
      <c r="T184" s="6" t="s">
        <v>863</v>
      </c>
      <c r="U184" s="6" t="s">
        <v>863</v>
      </c>
    </row>
    <row r="185" spans="1:21">
      <c r="A185" t="s">
        <v>264</v>
      </c>
      <c r="B185" t="s">
        <v>252</v>
      </c>
      <c r="C185" t="s">
        <v>265</v>
      </c>
      <c r="D185" s="6" t="s">
        <v>1430</v>
      </c>
      <c r="E185" s="6" t="s">
        <v>1942</v>
      </c>
      <c r="F185" s="6" t="s">
        <v>266</v>
      </c>
      <c r="G185" s="6" t="s">
        <v>744</v>
      </c>
      <c r="H185" s="6" t="s">
        <v>12</v>
      </c>
      <c r="I185" s="6" t="s">
        <v>10</v>
      </c>
      <c r="J185" s="6">
        <v>4213043</v>
      </c>
      <c r="K185" s="6">
        <v>4</v>
      </c>
      <c r="L185" s="6">
        <v>3776027</v>
      </c>
      <c r="M185" s="6" t="s">
        <v>601</v>
      </c>
      <c r="N185" s="6">
        <v>4663</v>
      </c>
      <c r="O185" s="6">
        <v>50</v>
      </c>
      <c r="P185" s="6">
        <v>155</v>
      </c>
      <c r="Q185" s="6">
        <v>0</v>
      </c>
      <c r="R185" s="6">
        <v>2012</v>
      </c>
      <c r="S185" s="6">
        <v>2130</v>
      </c>
      <c r="T185" s="6" t="s">
        <v>863</v>
      </c>
      <c r="U185" s="6" t="s">
        <v>863</v>
      </c>
    </row>
    <row r="186" spans="1:21">
      <c r="A186" t="s">
        <v>261</v>
      </c>
      <c r="B186" t="s">
        <v>252</v>
      </c>
      <c r="C186" t="s">
        <v>262</v>
      </c>
      <c r="D186" s="6" t="s">
        <v>1424</v>
      </c>
      <c r="E186" s="6" t="s">
        <v>1943</v>
      </c>
      <c r="F186" s="6" t="s">
        <v>263</v>
      </c>
      <c r="G186" s="6" t="s">
        <v>743</v>
      </c>
      <c r="H186" s="6" t="s">
        <v>12</v>
      </c>
      <c r="I186" s="6" t="s">
        <v>10</v>
      </c>
      <c r="J186" s="6">
        <v>4727788</v>
      </c>
      <c r="K186" s="6">
        <v>3</v>
      </c>
      <c r="L186" s="6">
        <v>4551947</v>
      </c>
      <c r="M186" s="6" t="s">
        <v>600</v>
      </c>
      <c r="N186" s="6">
        <v>4821</v>
      </c>
      <c r="O186" s="6">
        <v>59</v>
      </c>
      <c r="P186" s="6">
        <v>136</v>
      </c>
      <c r="Q186" s="6">
        <v>24</v>
      </c>
      <c r="R186" s="6">
        <v>1912</v>
      </c>
      <c r="S186" s="6">
        <v>2494</v>
      </c>
      <c r="T186" s="6" t="s">
        <v>863</v>
      </c>
      <c r="U186" s="6" t="s">
        <v>863</v>
      </c>
    </row>
    <row r="187" spans="1:21">
      <c r="A187" t="s">
        <v>163</v>
      </c>
      <c r="B187" t="s">
        <v>164</v>
      </c>
      <c r="C187" t="s">
        <v>165</v>
      </c>
      <c r="D187" s="6" t="s">
        <v>1405</v>
      </c>
      <c r="E187" s="6" t="s">
        <v>1944</v>
      </c>
      <c r="F187" s="6" t="s">
        <v>166</v>
      </c>
      <c r="G187" s="6" t="s">
        <v>738</v>
      </c>
      <c r="H187" s="6" t="s">
        <v>12</v>
      </c>
      <c r="I187" s="6" t="s">
        <v>10</v>
      </c>
      <c r="J187" s="6">
        <v>4652148</v>
      </c>
      <c r="K187" s="6">
        <v>10</v>
      </c>
      <c r="L187" s="6">
        <v>792945</v>
      </c>
      <c r="M187" s="6" t="s">
        <v>569</v>
      </c>
      <c r="N187" s="6">
        <v>4784</v>
      </c>
      <c r="O187" s="6">
        <v>48</v>
      </c>
      <c r="P187" s="6">
        <v>63</v>
      </c>
      <c r="Q187" s="6">
        <v>106</v>
      </c>
      <c r="R187" s="6">
        <v>2101</v>
      </c>
      <c r="S187" s="6">
        <v>1981</v>
      </c>
      <c r="T187" s="6" t="s">
        <v>863</v>
      </c>
      <c r="U187" s="6" t="s">
        <v>863</v>
      </c>
    </row>
    <row r="188" spans="1:21">
      <c r="A188" t="s">
        <v>276</v>
      </c>
      <c r="B188" t="s">
        <v>252</v>
      </c>
      <c r="C188" t="s">
        <v>277</v>
      </c>
      <c r="D188" s="6" t="s">
        <v>1426</v>
      </c>
      <c r="E188" s="6" t="s">
        <v>1945</v>
      </c>
      <c r="F188" s="6" t="s">
        <v>278</v>
      </c>
      <c r="G188" s="6" t="s">
        <v>748</v>
      </c>
      <c r="H188" s="6" t="s">
        <v>12</v>
      </c>
      <c r="I188" s="6" t="s">
        <v>10</v>
      </c>
      <c r="J188" s="6">
        <v>3853673</v>
      </c>
      <c r="K188" s="6">
        <v>64</v>
      </c>
      <c r="L188" s="6">
        <v>231589</v>
      </c>
      <c r="M188" s="6" t="s">
        <v>605</v>
      </c>
      <c r="N188" s="6">
        <v>4283</v>
      </c>
      <c r="O188" s="6">
        <v>49</v>
      </c>
      <c r="P188" s="6">
        <v>0</v>
      </c>
      <c r="Q188" s="6">
        <v>0</v>
      </c>
      <c r="R188" s="6">
        <v>1986</v>
      </c>
      <c r="S188" s="6">
        <v>1855</v>
      </c>
      <c r="T188" s="6" t="s">
        <v>863</v>
      </c>
      <c r="U188" s="6" t="s">
        <v>863</v>
      </c>
    </row>
    <row r="189" spans="1:21">
      <c r="A189" t="s">
        <v>121</v>
      </c>
      <c r="B189" t="s">
        <v>94</v>
      </c>
      <c r="C189" t="s">
        <v>122</v>
      </c>
      <c r="D189" s="6" t="s">
        <v>1435</v>
      </c>
      <c r="E189" s="6" t="s">
        <v>1946</v>
      </c>
      <c r="F189" s="6" t="s">
        <v>123</v>
      </c>
      <c r="G189" s="6" t="s">
        <v>727</v>
      </c>
      <c r="H189" s="6" t="s">
        <v>12</v>
      </c>
      <c r="I189" s="6" t="s">
        <v>10</v>
      </c>
      <c r="J189" s="6">
        <v>4115407</v>
      </c>
      <c r="K189" s="6">
        <v>46</v>
      </c>
      <c r="L189" s="6">
        <v>440618</v>
      </c>
      <c r="M189" s="6" t="s">
        <v>558</v>
      </c>
      <c r="N189" s="6">
        <v>3987</v>
      </c>
      <c r="O189" s="6">
        <v>51</v>
      </c>
      <c r="P189" s="6">
        <v>0</v>
      </c>
      <c r="Q189" s="6">
        <v>10</v>
      </c>
      <c r="R189" s="6">
        <v>1887</v>
      </c>
      <c r="S189" s="6">
        <v>1444</v>
      </c>
      <c r="T189" s="6" t="s">
        <v>863</v>
      </c>
      <c r="U189" s="6" t="s">
        <v>863</v>
      </c>
    </row>
    <row r="190" spans="1:21">
      <c r="A190" t="s">
        <v>109</v>
      </c>
      <c r="B190" t="s">
        <v>94</v>
      </c>
      <c r="C190" t="s">
        <v>110</v>
      </c>
      <c r="D190" s="6" t="s">
        <v>1400</v>
      </c>
      <c r="E190" s="6" t="s">
        <v>1947</v>
      </c>
      <c r="F190" s="6" t="s">
        <v>111</v>
      </c>
      <c r="G190" s="6" t="s">
        <v>723</v>
      </c>
      <c r="H190" s="6" t="s">
        <v>12</v>
      </c>
      <c r="I190" s="6" t="s">
        <v>10</v>
      </c>
      <c r="J190" s="6">
        <v>5435358</v>
      </c>
      <c r="K190" s="6">
        <v>19</v>
      </c>
      <c r="L190" s="6">
        <v>680706</v>
      </c>
      <c r="M190" s="6" t="s">
        <v>554</v>
      </c>
      <c r="N190" s="6">
        <v>5376</v>
      </c>
      <c r="O190" s="6">
        <v>50</v>
      </c>
      <c r="P190" s="6">
        <v>0</v>
      </c>
      <c r="Q190" s="6">
        <v>118</v>
      </c>
      <c r="R190" s="6">
        <v>2463</v>
      </c>
      <c r="S190" s="6">
        <v>1907</v>
      </c>
      <c r="T190" s="6" t="s">
        <v>863</v>
      </c>
      <c r="U190" s="6" t="s">
        <v>863</v>
      </c>
    </row>
    <row r="191" spans="1:21">
      <c r="A191" t="s">
        <v>7</v>
      </c>
      <c r="B191" t="s">
        <v>8</v>
      </c>
      <c r="C191" t="s">
        <v>9</v>
      </c>
      <c r="D191" s="6" t="s">
        <v>1375</v>
      </c>
      <c r="E191" s="6" t="s">
        <v>1948</v>
      </c>
      <c r="F191" s="6" t="s">
        <v>11</v>
      </c>
      <c r="G191" s="6" t="s">
        <v>691</v>
      </c>
      <c r="H191" s="6" t="s">
        <v>12</v>
      </c>
      <c r="I191" s="6" t="s">
        <v>10</v>
      </c>
      <c r="J191" s="6">
        <v>5082645</v>
      </c>
      <c r="K191" s="6">
        <v>8</v>
      </c>
      <c r="L191" s="6">
        <v>2245067</v>
      </c>
      <c r="M191" s="6" t="s">
        <v>522</v>
      </c>
      <c r="N191" s="6">
        <v>4829</v>
      </c>
      <c r="O191" s="6">
        <v>55</v>
      </c>
      <c r="P191" s="6">
        <v>34</v>
      </c>
      <c r="Q191" s="6">
        <v>0</v>
      </c>
      <c r="R191" s="6">
        <v>2195</v>
      </c>
      <c r="S191" s="6">
        <v>1887</v>
      </c>
      <c r="T191" s="6" t="s">
        <v>863</v>
      </c>
      <c r="U191" s="6" t="s">
        <v>863</v>
      </c>
    </row>
    <row r="192" spans="1:21">
      <c r="A192" t="s">
        <v>115</v>
      </c>
      <c r="B192" t="s">
        <v>94</v>
      </c>
      <c r="C192" t="s">
        <v>116</v>
      </c>
      <c r="D192" s="6" t="s">
        <v>1399</v>
      </c>
      <c r="E192" s="6" t="s">
        <v>1949</v>
      </c>
      <c r="F192" s="6" t="s">
        <v>117</v>
      </c>
      <c r="G192" s="6" t="s">
        <v>725</v>
      </c>
      <c r="H192" s="6" t="s">
        <v>12</v>
      </c>
      <c r="I192" s="6" t="s">
        <v>10</v>
      </c>
      <c r="J192" s="6">
        <v>6819047</v>
      </c>
      <c r="K192" s="6">
        <v>40</v>
      </c>
      <c r="L192" s="6">
        <v>543453</v>
      </c>
      <c r="M192" s="6" t="s">
        <v>556</v>
      </c>
      <c r="N192" s="6">
        <v>6474</v>
      </c>
      <c r="O192" s="6">
        <v>48</v>
      </c>
      <c r="P192" s="6">
        <v>0</v>
      </c>
      <c r="Q192" s="6">
        <v>0</v>
      </c>
      <c r="R192" s="6">
        <v>2290</v>
      </c>
      <c r="S192" s="6">
        <v>2734</v>
      </c>
      <c r="T192" s="6" t="s">
        <v>863</v>
      </c>
      <c r="U192" s="6" t="s">
        <v>863</v>
      </c>
    </row>
    <row r="193" spans="1:21">
      <c r="A193" t="s">
        <v>97</v>
      </c>
      <c r="B193" t="s">
        <v>94</v>
      </c>
      <c r="C193" t="s">
        <v>98</v>
      </c>
      <c r="D193" s="6" t="s">
        <v>1395</v>
      </c>
      <c r="E193" s="6" t="s">
        <v>1950</v>
      </c>
      <c r="F193" s="6" t="s">
        <v>99</v>
      </c>
      <c r="G193" s="6" t="s">
        <v>719</v>
      </c>
      <c r="H193" s="6" t="s">
        <v>12</v>
      </c>
      <c r="I193" s="6" t="s">
        <v>10</v>
      </c>
      <c r="J193" s="6">
        <v>5207362</v>
      </c>
      <c r="K193" s="6">
        <v>190</v>
      </c>
      <c r="L193" s="6">
        <v>173529</v>
      </c>
      <c r="M193" s="6" t="s">
        <v>550</v>
      </c>
      <c r="N193" s="6">
        <v>5535</v>
      </c>
      <c r="O193" s="6">
        <v>51</v>
      </c>
      <c r="P193" s="6">
        <v>0</v>
      </c>
      <c r="Q193" s="6">
        <v>234</v>
      </c>
      <c r="R193" s="6">
        <v>1945</v>
      </c>
      <c r="S193" s="6">
        <v>2809</v>
      </c>
      <c r="T193" s="6" t="s">
        <v>863</v>
      </c>
      <c r="U193" s="6" t="s">
        <v>863</v>
      </c>
    </row>
    <row r="194" spans="1:21">
      <c r="A194" t="s">
        <v>81</v>
      </c>
      <c r="B194" t="s">
        <v>51</v>
      </c>
      <c r="C194" t="s">
        <v>82</v>
      </c>
      <c r="D194" s="6" t="s">
        <v>1388</v>
      </c>
      <c r="E194" s="6" t="s">
        <v>1951</v>
      </c>
      <c r="F194" s="6" t="s">
        <v>83</v>
      </c>
      <c r="G194" s="6" t="s">
        <v>714</v>
      </c>
      <c r="H194" s="6" t="s">
        <v>12</v>
      </c>
      <c r="I194" s="6" t="s">
        <v>10</v>
      </c>
      <c r="J194" s="6">
        <v>5926429</v>
      </c>
      <c r="K194" s="6">
        <v>64</v>
      </c>
      <c r="L194" s="6">
        <v>303590</v>
      </c>
      <c r="M194" s="6" t="s">
        <v>545</v>
      </c>
      <c r="N194" s="6">
        <v>5853</v>
      </c>
      <c r="O194" s="6">
        <v>49</v>
      </c>
      <c r="P194" s="6">
        <v>0</v>
      </c>
      <c r="Q194" s="6">
        <v>0</v>
      </c>
      <c r="R194" s="6">
        <v>2389</v>
      </c>
      <c r="S194" s="6">
        <v>2151</v>
      </c>
      <c r="T194" s="6" t="s">
        <v>863</v>
      </c>
      <c r="U194" s="6" t="s">
        <v>863</v>
      </c>
    </row>
  </sheetData>
  <sortState ref="A25:U194">
    <sortCondition ref="A25:A194"/>
  </sortState>
  <mergeCells count="21">
    <mergeCell ref="B12:D12"/>
    <mergeCell ref="B19:D19"/>
    <mergeCell ref="B20:D20"/>
    <mergeCell ref="B21:D21"/>
    <mergeCell ref="B22:D22"/>
    <mergeCell ref="B13:D13"/>
    <mergeCell ref="B14:D14"/>
    <mergeCell ref="B15:D15"/>
    <mergeCell ref="B16:D16"/>
    <mergeCell ref="B17:D17"/>
    <mergeCell ref="B18:D18"/>
    <mergeCell ref="A1:E1"/>
    <mergeCell ref="B8:D8"/>
    <mergeCell ref="B9:D9"/>
    <mergeCell ref="B10:D10"/>
    <mergeCell ref="B11:D11"/>
    <mergeCell ref="B7:D7"/>
    <mergeCell ref="B2:D2"/>
    <mergeCell ref="B3:D3"/>
    <mergeCell ref="B4:D4"/>
    <mergeCell ref="B6:E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71"/>
  <sheetViews>
    <sheetView workbookViewId="0">
      <selection sqref="A1:C171"/>
    </sheetView>
  </sheetViews>
  <sheetFormatPr baseColWidth="10" defaultRowHeight="15" x14ac:dyDescent="0"/>
  <cols>
    <col min="1" max="1" width="7" bestFit="1" customWidth="1"/>
    <col min="2" max="2" width="39.1640625" bestFit="1" customWidth="1"/>
    <col min="3" max="3" width="39.1640625" customWidth="1"/>
    <col min="4" max="4" width="18.5" bestFit="1" customWidth="1"/>
    <col min="5" max="5" width="16" bestFit="1" customWidth="1"/>
    <col min="6" max="6" width="16.5" bestFit="1" customWidth="1"/>
    <col min="7" max="9" width="37.6640625" bestFit="1" customWidth="1"/>
    <col min="10" max="10" width="34.5" bestFit="1" customWidth="1"/>
    <col min="11" max="11" width="9.33203125" bestFit="1" customWidth="1"/>
    <col min="12" max="13" width="35.5" bestFit="1" customWidth="1"/>
    <col min="14" max="14" width="37.1640625" bestFit="1" customWidth="1"/>
    <col min="15" max="15" width="7.83203125" bestFit="1" customWidth="1"/>
    <col min="16" max="18" width="8.83203125" bestFit="1" customWidth="1"/>
  </cols>
  <sheetData>
    <row r="1" spans="1:21">
      <c r="B1" t="s">
        <v>1346</v>
      </c>
      <c r="C1" t="s">
        <v>2</v>
      </c>
    </row>
    <row r="2" spans="1:21">
      <c r="A2" t="s">
        <v>7</v>
      </c>
      <c r="B2" s="4" t="s">
        <v>1177</v>
      </c>
      <c r="C2" s="4" t="str">
        <f>CONCATENATE(H2," ",I2," ",J2," ",K2)</f>
        <v xml:space="preserve">CGMCC 1.12214  </v>
      </c>
      <c r="D2" t="s">
        <v>879</v>
      </c>
      <c r="E2" t="s">
        <v>880</v>
      </c>
      <c r="H2" s="4" t="s">
        <v>881</v>
      </c>
      <c r="I2" s="4" t="s">
        <v>882</v>
      </c>
      <c r="J2" s="4"/>
      <c r="K2" s="4"/>
      <c r="L2" t="s">
        <v>883</v>
      </c>
      <c r="M2" t="s">
        <v>884</v>
      </c>
      <c r="N2" t="s">
        <v>885</v>
      </c>
      <c r="O2" t="s">
        <v>886</v>
      </c>
      <c r="P2" t="s">
        <v>887</v>
      </c>
      <c r="Q2" t="s">
        <v>888</v>
      </c>
    </row>
    <row r="3" spans="1:21">
      <c r="A3" t="s">
        <v>13</v>
      </c>
      <c r="B3" s="4" t="s">
        <v>1178</v>
      </c>
      <c r="C3" s="4" t="str">
        <f t="shared" ref="C3:C42" si="0">CONCATENATE(H3," ",I3," ",J3," ",K3)</f>
        <v xml:space="preserve">SYSU M60028  </v>
      </c>
      <c r="D3" t="s">
        <v>879</v>
      </c>
      <c r="E3" t="s">
        <v>889</v>
      </c>
      <c r="F3" t="s">
        <v>890</v>
      </c>
      <c r="H3" s="4" t="s">
        <v>891</v>
      </c>
      <c r="I3" s="4" t="s">
        <v>892</v>
      </c>
      <c r="J3" s="4"/>
      <c r="K3" s="4"/>
      <c r="L3" t="s">
        <v>893</v>
      </c>
      <c r="M3" t="s">
        <v>885</v>
      </c>
      <c r="N3" t="s">
        <v>886</v>
      </c>
      <c r="O3" t="s">
        <v>887</v>
      </c>
      <c r="P3" t="s">
        <v>888</v>
      </c>
    </row>
    <row r="4" spans="1:21">
      <c r="A4" t="s">
        <v>16</v>
      </c>
      <c r="B4" s="4" t="s">
        <v>1179</v>
      </c>
      <c r="C4" s="4" t="str">
        <f t="shared" si="0"/>
        <v xml:space="preserve">SH9   </v>
      </c>
      <c r="D4" t="s">
        <v>879</v>
      </c>
      <c r="E4" t="s">
        <v>894</v>
      </c>
      <c r="F4" t="s">
        <v>890</v>
      </c>
      <c r="H4" s="4" t="s">
        <v>895</v>
      </c>
      <c r="I4" s="4"/>
      <c r="J4" s="4"/>
      <c r="K4" s="4"/>
      <c r="L4" t="s">
        <v>896</v>
      </c>
      <c r="M4" t="s">
        <v>885</v>
      </c>
      <c r="N4" t="s">
        <v>886</v>
      </c>
      <c r="O4" t="s">
        <v>887</v>
      </c>
      <c r="P4" t="s">
        <v>888</v>
      </c>
    </row>
    <row r="5" spans="1:21">
      <c r="A5" t="s">
        <v>19</v>
      </c>
      <c r="B5" s="4" t="s">
        <v>1180</v>
      </c>
      <c r="C5" s="4" t="str">
        <f t="shared" si="0"/>
        <v xml:space="preserve">ATCC 9039  </v>
      </c>
      <c r="D5" t="s">
        <v>897</v>
      </c>
      <c r="E5" t="s">
        <v>898</v>
      </c>
      <c r="F5" t="s">
        <v>899</v>
      </c>
      <c r="G5" t="s">
        <v>898</v>
      </c>
      <c r="H5" s="4" t="s">
        <v>900</v>
      </c>
      <c r="I5" s="4">
        <v>9039</v>
      </c>
      <c r="J5" s="4"/>
      <c r="K5" s="4"/>
      <c r="L5" t="s">
        <v>901</v>
      </c>
      <c r="M5" t="s">
        <v>888</v>
      </c>
    </row>
    <row r="6" spans="1:21">
      <c r="A6" t="s">
        <v>23</v>
      </c>
      <c r="B6" s="4" t="s">
        <v>1181</v>
      </c>
      <c r="C6" s="4" t="str">
        <f t="shared" si="0"/>
        <v xml:space="preserve">UQM 1969  </v>
      </c>
      <c r="D6" t="s">
        <v>897</v>
      </c>
      <c r="E6" t="s">
        <v>902</v>
      </c>
      <c r="F6" t="s">
        <v>890</v>
      </c>
      <c r="H6" s="4" t="s">
        <v>903</v>
      </c>
      <c r="I6" s="4">
        <v>1969</v>
      </c>
      <c r="J6" s="4"/>
      <c r="K6" s="4"/>
      <c r="L6" t="s">
        <v>904</v>
      </c>
      <c r="M6" t="s">
        <v>885</v>
      </c>
      <c r="N6" t="s">
        <v>886</v>
      </c>
      <c r="O6" t="s">
        <v>887</v>
      </c>
      <c r="P6" t="s">
        <v>888</v>
      </c>
    </row>
    <row r="7" spans="1:21">
      <c r="A7" t="s">
        <v>291</v>
      </c>
      <c r="B7" s="4" t="s">
        <v>1265</v>
      </c>
      <c r="C7" s="4" t="str">
        <f t="shared" si="0"/>
        <v xml:space="preserve">RH AL8  </v>
      </c>
      <c r="D7" t="s">
        <v>20</v>
      </c>
      <c r="E7" t="s">
        <v>1000</v>
      </c>
      <c r="H7" s="4" t="s">
        <v>1062</v>
      </c>
      <c r="I7" s="4" t="s">
        <v>1065</v>
      </c>
      <c r="J7" s="4"/>
      <c r="K7" s="4"/>
      <c r="L7" t="s">
        <v>1001</v>
      </c>
      <c r="M7" s="6" t="s">
        <v>1066</v>
      </c>
      <c r="N7" t="s">
        <v>886</v>
      </c>
      <c r="O7" t="s">
        <v>940</v>
      </c>
      <c r="P7" t="s">
        <v>941</v>
      </c>
      <c r="Q7" t="s">
        <v>1067</v>
      </c>
      <c r="R7" t="s">
        <v>885</v>
      </c>
      <c r="S7" t="s">
        <v>886</v>
      </c>
      <c r="T7" t="s">
        <v>887</v>
      </c>
      <c r="U7" t="s">
        <v>888</v>
      </c>
    </row>
    <row r="8" spans="1:21">
      <c r="A8" t="s">
        <v>288</v>
      </c>
      <c r="B8" s="4" t="s">
        <v>1264</v>
      </c>
      <c r="C8" s="4" t="str">
        <f t="shared" si="0"/>
        <v xml:space="preserve">RH AL1  </v>
      </c>
      <c r="D8" t="s">
        <v>20</v>
      </c>
      <c r="E8" t="s">
        <v>1000</v>
      </c>
      <c r="H8" s="4" t="s">
        <v>1062</v>
      </c>
      <c r="I8" s="4" t="s">
        <v>1063</v>
      </c>
      <c r="J8" s="4"/>
      <c r="K8" s="4"/>
      <c r="L8" t="s">
        <v>1001</v>
      </c>
      <c r="M8" s="6" t="s">
        <v>289</v>
      </c>
      <c r="N8" t="s">
        <v>886</v>
      </c>
      <c r="O8" t="s">
        <v>940</v>
      </c>
      <c r="P8" t="s">
        <v>1064</v>
      </c>
      <c r="Q8">
        <v>1</v>
      </c>
    </row>
    <row r="9" spans="1:21">
      <c r="A9" t="s">
        <v>87</v>
      </c>
      <c r="B9" s="4" t="s">
        <v>1202</v>
      </c>
      <c r="C9" s="4" t="str">
        <f t="shared" si="0"/>
        <v xml:space="preserve">Vaf18   </v>
      </c>
      <c r="D9" t="s">
        <v>928</v>
      </c>
      <c r="E9" t="s">
        <v>965</v>
      </c>
      <c r="F9" t="s">
        <v>890</v>
      </c>
      <c r="H9" s="4" t="s">
        <v>966</v>
      </c>
      <c r="I9" s="4"/>
      <c r="J9" s="4"/>
      <c r="K9" s="4"/>
      <c r="L9" t="s">
        <v>915</v>
      </c>
      <c r="M9" t="s">
        <v>901</v>
      </c>
      <c r="N9" t="s">
        <v>886</v>
      </c>
    </row>
    <row r="10" spans="1:21">
      <c r="A10" t="s">
        <v>90</v>
      </c>
      <c r="B10" s="4" t="s">
        <v>1203</v>
      </c>
      <c r="C10" s="4" t="str">
        <f t="shared" si="0"/>
        <v xml:space="preserve">A18/4-2   </v>
      </c>
      <c r="D10" t="s">
        <v>928</v>
      </c>
      <c r="E10" t="s">
        <v>967</v>
      </c>
      <c r="F10" t="s">
        <v>890</v>
      </c>
      <c r="H10" s="4" t="s">
        <v>968</v>
      </c>
      <c r="I10" s="4"/>
      <c r="J10" s="4"/>
      <c r="K10" s="4"/>
      <c r="L10" t="s">
        <v>915</v>
      </c>
      <c r="M10" t="s">
        <v>901</v>
      </c>
      <c r="N10" t="s">
        <v>886</v>
      </c>
    </row>
    <row r="11" spans="1:21">
      <c r="A11" t="s">
        <v>50</v>
      </c>
      <c r="B11" s="4" t="s">
        <v>1190</v>
      </c>
      <c r="C11" s="4" t="str">
        <f t="shared" si="0"/>
        <v xml:space="preserve">REN20   </v>
      </c>
      <c r="D11" t="s">
        <v>928</v>
      </c>
      <c r="E11" t="s">
        <v>929</v>
      </c>
      <c r="F11" t="s">
        <v>890</v>
      </c>
      <c r="H11" s="4" t="s">
        <v>930</v>
      </c>
      <c r="I11" s="4"/>
      <c r="J11" s="4"/>
      <c r="K11" s="4"/>
      <c r="L11" t="s">
        <v>915</v>
      </c>
      <c r="M11" t="s">
        <v>901</v>
      </c>
      <c r="N11" t="s">
        <v>886</v>
      </c>
    </row>
    <row r="12" spans="1:21">
      <c r="A12" t="s">
        <v>75</v>
      </c>
      <c r="B12" s="4" t="s">
        <v>1198</v>
      </c>
      <c r="C12" s="4" t="str">
        <f t="shared" si="0"/>
        <v xml:space="preserve">DSM 26672  </v>
      </c>
      <c r="D12" t="s">
        <v>928</v>
      </c>
      <c r="E12" t="s">
        <v>954</v>
      </c>
      <c r="F12" t="s">
        <v>890</v>
      </c>
      <c r="H12" s="4" t="s">
        <v>939</v>
      </c>
      <c r="I12" s="4">
        <v>26672</v>
      </c>
      <c r="J12" s="4"/>
      <c r="K12" s="4"/>
      <c r="L12" t="s">
        <v>886</v>
      </c>
      <c r="M12" t="s">
        <v>940</v>
      </c>
      <c r="N12" t="s">
        <v>941</v>
      </c>
      <c r="O12" t="s">
        <v>955</v>
      </c>
      <c r="P12" t="s">
        <v>885</v>
      </c>
      <c r="Q12" t="s">
        <v>886</v>
      </c>
      <c r="R12" t="s">
        <v>887</v>
      </c>
      <c r="S12" t="s">
        <v>888</v>
      </c>
    </row>
    <row r="13" spans="1:21">
      <c r="A13" t="s">
        <v>60</v>
      </c>
      <c r="B13" s="4" t="s">
        <v>1193</v>
      </c>
      <c r="C13" s="4" t="str">
        <f t="shared" si="0"/>
        <v xml:space="preserve">DSM 26656  </v>
      </c>
      <c r="D13" t="s">
        <v>928</v>
      </c>
      <c r="E13" t="s">
        <v>938</v>
      </c>
      <c r="F13" t="s">
        <v>890</v>
      </c>
      <c r="H13" s="4" t="s">
        <v>939</v>
      </c>
      <c r="I13" s="4">
        <v>26656</v>
      </c>
      <c r="J13" s="4"/>
      <c r="K13" s="4"/>
      <c r="L13" t="s">
        <v>886</v>
      </c>
      <c r="M13" t="s">
        <v>940</v>
      </c>
      <c r="N13" t="s">
        <v>941</v>
      </c>
      <c r="O13" t="s">
        <v>942</v>
      </c>
      <c r="P13" t="s">
        <v>885</v>
      </c>
      <c r="Q13" t="s">
        <v>886</v>
      </c>
      <c r="R13" t="s">
        <v>887</v>
      </c>
      <c r="S13" t="s">
        <v>888</v>
      </c>
    </row>
    <row r="14" spans="1:21">
      <c r="A14" t="s">
        <v>63</v>
      </c>
      <c r="B14" s="4" t="s">
        <v>1194</v>
      </c>
      <c r="C14" s="4" t="str">
        <f>CONCATENATE(H14," ",I14," ",J14," ",K14)</f>
        <v>LMG 26383,CCUG 61248,R- 45681</v>
      </c>
      <c r="D14" t="s">
        <v>928</v>
      </c>
      <c r="E14" t="s">
        <v>943</v>
      </c>
      <c r="F14" t="s">
        <v>890</v>
      </c>
      <c r="H14" s="4" t="s">
        <v>944</v>
      </c>
      <c r="I14" s="4" t="s">
        <v>945</v>
      </c>
      <c r="J14" s="4" t="s">
        <v>946</v>
      </c>
      <c r="K14" s="4">
        <v>45681</v>
      </c>
      <c r="L14" t="s">
        <v>886</v>
      </c>
      <c r="M14" t="s">
        <v>940</v>
      </c>
      <c r="N14" t="s">
        <v>941</v>
      </c>
      <c r="O14" t="s">
        <v>947</v>
      </c>
      <c r="P14" t="s">
        <v>885</v>
      </c>
      <c r="Q14" t="s">
        <v>886</v>
      </c>
      <c r="R14" t="s">
        <v>887</v>
      </c>
      <c r="S14" t="s">
        <v>888</v>
      </c>
    </row>
    <row r="15" spans="1:21">
      <c r="A15" t="s">
        <v>84</v>
      </c>
      <c r="B15" s="4" t="s">
        <v>1201</v>
      </c>
      <c r="C15" s="4" t="str">
        <f t="shared" si="0"/>
        <v xml:space="preserve">DSM 9653  </v>
      </c>
      <c r="D15" t="s">
        <v>928</v>
      </c>
      <c r="E15" t="s">
        <v>963</v>
      </c>
      <c r="F15" t="s">
        <v>890</v>
      </c>
      <c r="H15" s="4" t="s">
        <v>939</v>
      </c>
      <c r="I15" s="4">
        <v>9653</v>
      </c>
      <c r="J15" s="4"/>
      <c r="K15" s="4"/>
      <c r="L15" t="s">
        <v>886</v>
      </c>
      <c r="M15" t="s">
        <v>940</v>
      </c>
      <c r="N15" t="s">
        <v>941</v>
      </c>
      <c r="O15" t="s">
        <v>964</v>
      </c>
      <c r="P15" t="s">
        <v>885</v>
      </c>
      <c r="Q15" t="s">
        <v>886</v>
      </c>
      <c r="R15" t="s">
        <v>887</v>
      </c>
      <c r="S15" t="s">
        <v>888</v>
      </c>
    </row>
    <row r="16" spans="1:21">
      <c r="A16" t="s">
        <v>81</v>
      </c>
      <c r="B16" s="4" t="s">
        <v>1200</v>
      </c>
      <c r="C16" s="4" t="str">
        <f t="shared" si="0"/>
        <v xml:space="preserve">SSUT16   </v>
      </c>
      <c r="D16" t="s">
        <v>928</v>
      </c>
      <c r="E16" t="s">
        <v>960</v>
      </c>
      <c r="F16" t="s">
        <v>890</v>
      </c>
      <c r="H16" s="4" t="s">
        <v>961</v>
      </c>
      <c r="I16" s="4"/>
      <c r="J16" s="4"/>
      <c r="K16" s="4"/>
      <c r="L16" t="s">
        <v>962</v>
      </c>
      <c r="M16" t="s">
        <v>885</v>
      </c>
      <c r="N16" t="s">
        <v>886</v>
      </c>
      <c r="O16" t="s">
        <v>887</v>
      </c>
      <c r="P16" t="s">
        <v>888</v>
      </c>
    </row>
    <row r="17" spans="1:17">
      <c r="A17" t="s">
        <v>69</v>
      </c>
      <c r="B17" s="4" t="s">
        <v>1196</v>
      </c>
      <c r="C17" s="4" t="str">
        <f t="shared" si="0"/>
        <v xml:space="preserve">LMG 26207  </v>
      </c>
      <c r="D17" t="s">
        <v>928</v>
      </c>
      <c r="E17" t="s">
        <v>950</v>
      </c>
      <c r="F17" t="s">
        <v>890</v>
      </c>
      <c r="H17" s="4" t="s">
        <v>944</v>
      </c>
      <c r="I17" s="4">
        <v>26207</v>
      </c>
      <c r="J17" s="4"/>
      <c r="K17" s="4"/>
      <c r="L17" t="s">
        <v>951</v>
      </c>
      <c r="M17" t="s">
        <v>885</v>
      </c>
      <c r="N17" t="s">
        <v>886</v>
      </c>
      <c r="O17" t="s">
        <v>887</v>
      </c>
      <c r="P17" t="s">
        <v>888</v>
      </c>
    </row>
    <row r="18" spans="1:17">
      <c r="A18" t="s">
        <v>78</v>
      </c>
      <c r="B18" s="4" t="s">
        <v>1199</v>
      </c>
      <c r="C18" s="4" t="str">
        <f t="shared" si="0"/>
        <v xml:space="preserve">ZW T0_25  </v>
      </c>
      <c r="D18" t="s">
        <v>928</v>
      </c>
      <c r="E18" t="s">
        <v>956</v>
      </c>
      <c r="F18" t="s">
        <v>890</v>
      </c>
      <c r="H18" s="4" t="s">
        <v>957</v>
      </c>
      <c r="I18" s="4" t="s">
        <v>958</v>
      </c>
      <c r="J18" s="4"/>
      <c r="K18" s="4"/>
      <c r="L18" t="s">
        <v>959</v>
      </c>
      <c r="M18" t="s">
        <v>885</v>
      </c>
      <c r="N18" t="s">
        <v>886</v>
      </c>
      <c r="O18" t="s">
        <v>887</v>
      </c>
      <c r="P18" t="s">
        <v>888</v>
      </c>
    </row>
    <row r="19" spans="1:17">
      <c r="A19" t="s">
        <v>66</v>
      </c>
      <c r="B19" s="4" t="s">
        <v>1195</v>
      </c>
      <c r="C19" s="4" t="str">
        <f t="shared" si="0"/>
        <v xml:space="preserve">CGMCC 1.16390  </v>
      </c>
      <c r="D19" t="s">
        <v>928</v>
      </c>
      <c r="E19" t="s">
        <v>948</v>
      </c>
      <c r="F19" t="s">
        <v>890</v>
      </c>
      <c r="H19" s="4" t="s">
        <v>881</v>
      </c>
      <c r="I19" s="4" t="s">
        <v>949</v>
      </c>
      <c r="J19" s="4"/>
      <c r="K19" s="4"/>
      <c r="L19" t="s">
        <v>937</v>
      </c>
      <c r="M19" t="s">
        <v>885</v>
      </c>
      <c r="N19" t="s">
        <v>886</v>
      </c>
      <c r="O19" t="s">
        <v>887</v>
      </c>
      <c r="P19" t="s">
        <v>888</v>
      </c>
    </row>
    <row r="20" spans="1:17">
      <c r="A20" t="s">
        <v>57</v>
      </c>
      <c r="B20" s="4" t="s">
        <v>1192</v>
      </c>
      <c r="C20" s="4" t="str">
        <f t="shared" si="0"/>
        <v xml:space="preserve">NCAIM B.01391  </v>
      </c>
      <c r="D20" t="s">
        <v>928</v>
      </c>
      <c r="E20" t="s">
        <v>934</v>
      </c>
      <c r="F20" t="s">
        <v>890</v>
      </c>
      <c r="H20" s="4" t="s">
        <v>935</v>
      </c>
      <c r="I20" s="4" t="s">
        <v>936</v>
      </c>
      <c r="J20" s="4"/>
      <c r="K20" s="4"/>
      <c r="L20" t="s">
        <v>937</v>
      </c>
      <c r="M20" t="s">
        <v>885</v>
      </c>
      <c r="N20" t="s">
        <v>886</v>
      </c>
      <c r="O20" t="s">
        <v>887</v>
      </c>
      <c r="P20" t="s">
        <v>888</v>
      </c>
    </row>
    <row r="21" spans="1:17">
      <c r="A21" t="s">
        <v>72</v>
      </c>
      <c r="B21" s="4" t="s">
        <v>1197</v>
      </c>
      <c r="C21" s="4" t="str">
        <f t="shared" si="0"/>
        <v xml:space="preserve">1131   </v>
      </c>
      <c r="D21" t="s">
        <v>928</v>
      </c>
      <c r="E21" t="s">
        <v>952</v>
      </c>
      <c r="F21" t="s">
        <v>890</v>
      </c>
      <c r="H21" s="4">
        <v>1131</v>
      </c>
      <c r="I21" s="4"/>
      <c r="J21" s="4"/>
      <c r="K21" s="5"/>
      <c r="L21" t="s">
        <v>953</v>
      </c>
      <c r="M21" t="s">
        <v>885</v>
      </c>
      <c r="N21" t="s">
        <v>886</v>
      </c>
      <c r="O21" t="s">
        <v>887</v>
      </c>
      <c r="P21" t="s">
        <v>888</v>
      </c>
    </row>
    <row r="22" spans="1:17">
      <c r="A22" t="s">
        <v>54</v>
      </c>
      <c r="B22" s="4" t="s">
        <v>1191</v>
      </c>
      <c r="C22" s="4" t="str">
        <f t="shared" si="0"/>
        <v xml:space="preserve">RCAM 4680  </v>
      </c>
      <c r="D22" t="s">
        <v>928</v>
      </c>
      <c r="E22" t="s">
        <v>931</v>
      </c>
      <c r="F22" t="s">
        <v>890</v>
      </c>
      <c r="H22" s="4" t="s">
        <v>932</v>
      </c>
      <c r="I22" s="4">
        <v>4680</v>
      </c>
      <c r="J22" s="4"/>
      <c r="K22" s="4"/>
      <c r="L22" t="s">
        <v>933</v>
      </c>
      <c r="M22" t="s">
        <v>885</v>
      </c>
      <c r="N22" t="s">
        <v>886</v>
      </c>
      <c r="O22" t="s">
        <v>887</v>
      </c>
      <c r="P22" t="s">
        <v>888</v>
      </c>
    </row>
    <row r="23" spans="1:17">
      <c r="A23" t="s">
        <v>97</v>
      </c>
      <c r="B23" s="4" t="s">
        <v>1205</v>
      </c>
      <c r="C23" s="4" t="str">
        <f t="shared" si="0"/>
        <v xml:space="preserve">KCTC 42282  </v>
      </c>
      <c r="D23" t="s">
        <v>969</v>
      </c>
      <c r="E23" t="s">
        <v>973</v>
      </c>
      <c r="H23" s="4" t="s">
        <v>974</v>
      </c>
      <c r="I23" s="4">
        <v>42282</v>
      </c>
      <c r="J23" s="4"/>
      <c r="K23" s="4"/>
      <c r="L23" t="s">
        <v>883</v>
      </c>
      <c r="M23" t="s">
        <v>975</v>
      </c>
      <c r="N23" t="s">
        <v>885</v>
      </c>
      <c r="O23" t="s">
        <v>886</v>
      </c>
      <c r="P23" t="s">
        <v>887</v>
      </c>
      <c r="Q23" t="s">
        <v>888</v>
      </c>
    </row>
    <row r="24" spans="1:17">
      <c r="A24" t="s">
        <v>93</v>
      </c>
      <c r="B24" s="4" t="s">
        <v>1204</v>
      </c>
      <c r="C24" s="4" t="str">
        <f t="shared" si="0"/>
        <v xml:space="preserve">CCM 7941  </v>
      </c>
      <c r="D24" t="s">
        <v>969</v>
      </c>
      <c r="E24" t="s">
        <v>970</v>
      </c>
      <c r="F24" t="s">
        <v>890</v>
      </c>
      <c r="H24" s="4" t="s">
        <v>971</v>
      </c>
      <c r="I24" s="4">
        <v>7941</v>
      </c>
      <c r="J24" s="4"/>
      <c r="K24" s="4"/>
      <c r="L24" t="s">
        <v>972</v>
      </c>
      <c r="M24" t="s">
        <v>885</v>
      </c>
      <c r="N24" t="s">
        <v>886</v>
      </c>
      <c r="O24" t="s">
        <v>887</v>
      </c>
      <c r="P24" t="s">
        <v>888</v>
      </c>
    </row>
    <row r="25" spans="1:17">
      <c r="A25" t="s">
        <v>100</v>
      </c>
      <c r="B25" s="4" t="s">
        <v>1206</v>
      </c>
      <c r="C25" s="4" t="str">
        <f t="shared" si="0"/>
        <v xml:space="preserve">CCM 7696  </v>
      </c>
      <c r="D25" t="s">
        <v>969</v>
      </c>
      <c r="E25" t="s">
        <v>976</v>
      </c>
      <c r="F25" t="s">
        <v>890</v>
      </c>
      <c r="H25" s="4" t="s">
        <v>971</v>
      </c>
      <c r="I25" s="4">
        <v>7696</v>
      </c>
      <c r="J25" s="4"/>
      <c r="K25" s="4"/>
      <c r="L25" t="s">
        <v>977</v>
      </c>
      <c r="M25" t="s">
        <v>885</v>
      </c>
      <c r="N25" t="s">
        <v>886</v>
      </c>
      <c r="O25" t="s">
        <v>887</v>
      </c>
      <c r="P25" t="s">
        <v>888</v>
      </c>
    </row>
    <row r="26" spans="1:17">
      <c r="A26" t="s">
        <v>301</v>
      </c>
      <c r="B26" s="4" t="s">
        <v>1268</v>
      </c>
      <c r="C26" s="4" t="str">
        <f t="shared" si="0"/>
        <v xml:space="preserve">PC2   </v>
      </c>
      <c r="D26" t="s">
        <v>1074</v>
      </c>
      <c r="E26" t="s">
        <v>1072</v>
      </c>
      <c r="F26" t="s">
        <v>1075</v>
      </c>
      <c r="G26" t="s">
        <v>1001</v>
      </c>
      <c r="H26" s="4" t="s">
        <v>1076</v>
      </c>
      <c r="I26" s="4"/>
      <c r="J26" s="4"/>
      <c r="K26" s="4"/>
      <c r="L26" t="s">
        <v>1077</v>
      </c>
      <c r="M26" t="s">
        <v>885</v>
      </c>
      <c r="N26" t="s">
        <v>886</v>
      </c>
      <c r="O26" t="s">
        <v>887</v>
      </c>
      <c r="P26" t="s">
        <v>888</v>
      </c>
    </row>
    <row r="27" spans="1:17">
      <c r="A27" t="s">
        <v>115</v>
      </c>
      <c r="B27" s="4" t="s">
        <v>1211</v>
      </c>
      <c r="C27" s="4" t="str">
        <f t="shared" si="0"/>
        <v xml:space="preserve">CGMCC 1.12919  </v>
      </c>
      <c r="D27" t="s">
        <v>978</v>
      </c>
      <c r="E27" t="s">
        <v>988</v>
      </c>
      <c r="H27" s="4" t="s">
        <v>881</v>
      </c>
      <c r="I27" s="4" t="s">
        <v>989</v>
      </c>
      <c r="J27" s="4"/>
      <c r="K27" s="4"/>
      <c r="L27" t="s">
        <v>883</v>
      </c>
      <c r="M27" t="s">
        <v>990</v>
      </c>
      <c r="N27" t="s">
        <v>885</v>
      </c>
      <c r="O27" t="s">
        <v>886</v>
      </c>
      <c r="P27" t="s">
        <v>887</v>
      </c>
      <c r="Q27" t="s">
        <v>888</v>
      </c>
    </row>
    <row r="28" spans="1:17">
      <c r="A28" t="s">
        <v>109</v>
      </c>
      <c r="B28" s="4" t="s">
        <v>1209</v>
      </c>
      <c r="C28" s="4" t="str">
        <f t="shared" si="0"/>
        <v xml:space="preserve">DSM 103737  </v>
      </c>
      <c r="D28" t="s">
        <v>978</v>
      </c>
      <c r="E28" t="s">
        <v>984</v>
      </c>
      <c r="F28" t="s">
        <v>890</v>
      </c>
      <c r="H28" s="4" t="s">
        <v>939</v>
      </c>
      <c r="I28" s="4">
        <v>103737</v>
      </c>
      <c r="J28" s="4"/>
      <c r="K28" s="4"/>
      <c r="L28" t="s">
        <v>985</v>
      </c>
      <c r="M28" t="s">
        <v>885</v>
      </c>
      <c r="N28" t="s">
        <v>886</v>
      </c>
      <c r="O28" t="s">
        <v>887</v>
      </c>
      <c r="P28" t="s">
        <v>888</v>
      </c>
    </row>
    <row r="29" spans="1:17">
      <c r="A29" t="s">
        <v>106</v>
      </c>
      <c r="B29" s="4" t="s">
        <v>1208</v>
      </c>
      <c r="C29" s="4" t="str">
        <f t="shared" si="0"/>
        <v xml:space="preserve">DSM 6462  </v>
      </c>
      <c r="D29" t="s">
        <v>978</v>
      </c>
      <c r="E29" t="s">
        <v>982</v>
      </c>
      <c r="F29" t="s">
        <v>890</v>
      </c>
      <c r="H29" s="4" t="s">
        <v>939</v>
      </c>
      <c r="I29" s="4">
        <v>6462</v>
      </c>
      <c r="J29" s="4"/>
      <c r="K29" s="4"/>
      <c r="L29" t="s">
        <v>983</v>
      </c>
      <c r="M29" t="s">
        <v>885</v>
      </c>
      <c r="N29" t="s">
        <v>886</v>
      </c>
      <c r="O29" t="s">
        <v>887</v>
      </c>
      <c r="P29" t="s">
        <v>888</v>
      </c>
    </row>
    <row r="30" spans="1:17">
      <c r="A30" t="s">
        <v>112</v>
      </c>
      <c r="B30" s="4" t="s">
        <v>1210</v>
      </c>
      <c r="C30" s="4" t="str">
        <f t="shared" si="0"/>
        <v xml:space="preserve">DSM 101465  </v>
      </c>
      <c r="D30" t="s">
        <v>978</v>
      </c>
      <c r="E30" t="s">
        <v>986</v>
      </c>
      <c r="F30" t="s">
        <v>890</v>
      </c>
      <c r="H30" s="4" t="s">
        <v>939</v>
      </c>
      <c r="I30" s="4">
        <v>101465</v>
      </c>
      <c r="J30" s="4"/>
      <c r="K30" s="4"/>
      <c r="L30" t="s">
        <v>987</v>
      </c>
      <c r="M30" t="s">
        <v>885</v>
      </c>
      <c r="N30" t="s">
        <v>886</v>
      </c>
      <c r="O30" t="s">
        <v>887</v>
      </c>
      <c r="P30" t="s">
        <v>888</v>
      </c>
    </row>
    <row r="31" spans="1:17">
      <c r="A31" t="s">
        <v>103</v>
      </c>
      <c r="B31" s="4" t="s">
        <v>1207</v>
      </c>
      <c r="C31" s="4" t="str">
        <f t="shared" si="0"/>
        <v xml:space="preserve">SYSU G07232  </v>
      </c>
      <c r="D31" t="s">
        <v>978</v>
      </c>
      <c r="E31" t="s">
        <v>979</v>
      </c>
      <c r="F31" t="s">
        <v>890</v>
      </c>
      <c r="H31" s="4" t="s">
        <v>891</v>
      </c>
      <c r="I31" s="4" t="s">
        <v>980</v>
      </c>
      <c r="J31" s="4"/>
      <c r="K31" s="4"/>
      <c r="L31" t="s">
        <v>981</v>
      </c>
      <c r="M31" t="s">
        <v>885</v>
      </c>
      <c r="N31" t="s">
        <v>886</v>
      </c>
      <c r="O31" t="s">
        <v>887</v>
      </c>
      <c r="P31" t="s">
        <v>888</v>
      </c>
    </row>
    <row r="32" spans="1:17">
      <c r="A32" t="s">
        <v>118</v>
      </c>
      <c r="B32" s="4" t="s">
        <v>1212</v>
      </c>
      <c r="C32" s="4" t="str">
        <f t="shared" si="0"/>
        <v xml:space="preserve">DSM 18167  </v>
      </c>
      <c r="D32" t="s">
        <v>978</v>
      </c>
      <c r="E32" t="s">
        <v>991</v>
      </c>
      <c r="F32" t="s">
        <v>890</v>
      </c>
      <c r="H32" s="4" t="s">
        <v>939</v>
      </c>
      <c r="I32" s="4">
        <v>18167</v>
      </c>
      <c r="J32" s="4"/>
      <c r="K32" s="4"/>
      <c r="L32" t="s">
        <v>992</v>
      </c>
      <c r="M32" t="s">
        <v>885</v>
      </c>
      <c r="N32" t="s">
        <v>886</v>
      </c>
      <c r="O32" t="s">
        <v>887</v>
      </c>
      <c r="P32" t="s">
        <v>888</v>
      </c>
    </row>
    <row r="33" spans="1:18">
      <c r="A33" t="s">
        <v>163</v>
      </c>
      <c r="B33" s="4" t="s">
        <v>1224</v>
      </c>
      <c r="C33" s="4" t="str">
        <f t="shared" si="0"/>
        <v xml:space="preserve">DB1703   </v>
      </c>
      <c r="D33" t="s">
        <v>1020</v>
      </c>
      <c r="E33" t="s">
        <v>1021</v>
      </c>
      <c r="F33" t="s">
        <v>890</v>
      </c>
      <c r="H33" s="4" t="s">
        <v>1022</v>
      </c>
      <c r="I33" s="4"/>
      <c r="J33" s="4"/>
      <c r="K33" s="4"/>
      <c r="L33" t="s">
        <v>1023</v>
      </c>
      <c r="M33" t="s">
        <v>885</v>
      </c>
      <c r="N33" t="s">
        <v>886</v>
      </c>
      <c r="O33" t="s">
        <v>887</v>
      </c>
      <c r="P33" t="s">
        <v>888</v>
      </c>
    </row>
    <row r="34" spans="1:18">
      <c r="A34" t="s">
        <v>173</v>
      </c>
      <c r="B34" s="4" t="s">
        <v>1226</v>
      </c>
      <c r="C34" s="4" t="str">
        <f t="shared" si="0"/>
        <v xml:space="preserve">WL0021   </v>
      </c>
      <c r="D34" t="s">
        <v>1024</v>
      </c>
      <c r="E34" t="s">
        <v>1025</v>
      </c>
      <c r="F34" t="s">
        <v>890</v>
      </c>
      <c r="H34" s="4" t="s">
        <v>1026</v>
      </c>
      <c r="I34" s="4"/>
      <c r="J34" s="4"/>
      <c r="K34" s="4"/>
      <c r="L34" t="s">
        <v>1027</v>
      </c>
      <c r="M34" t="s">
        <v>885</v>
      </c>
      <c r="N34" t="s">
        <v>886</v>
      </c>
      <c r="O34" t="s">
        <v>887</v>
      </c>
      <c r="P34" t="s">
        <v>888</v>
      </c>
    </row>
    <row r="35" spans="1:18">
      <c r="A35" t="s">
        <v>130</v>
      </c>
      <c r="B35" s="4" t="s">
        <v>1216</v>
      </c>
      <c r="C35" s="4" t="str">
        <f t="shared" si="0"/>
        <v xml:space="preserve">6Y81   </v>
      </c>
      <c r="D35" t="s">
        <v>1004</v>
      </c>
      <c r="E35" t="s">
        <v>1005</v>
      </c>
      <c r="F35" t="s">
        <v>890</v>
      </c>
      <c r="H35" s="4" t="s">
        <v>133</v>
      </c>
      <c r="I35" s="4"/>
      <c r="J35" s="4"/>
      <c r="K35" s="4"/>
      <c r="L35" t="s">
        <v>1006</v>
      </c>
      <c r="M35" t="s">
        <v>885</v>
      </c>
      <c r="N35" t="s">
        <v>886</v>
      </c>
      <c r="O35" t="s">
        <v>887</v>
      </c>
      <c r="P35" t="s">
        <v>888</v>
      </c>
    </row>
    <row r="36" spans="1:18">
      <c r="A36" t="s">
        <v>136</v>
      </c>
      <c r="B36" s="4" t="s">
        <v>1217</v>
      </c>
      <c r="C36" s="4" t="str">
        <f t="shared" si="0"/>
        <v xml:space="preserve">RmlP026   </v>
      </c>
      <c r="D36" t="s">
        <v>1004</v>
      </c>
      <c r="E36" t="s">
        <v>1007</v>
      </c>
      <c r="F36" t="s">
        <v>890</v>
      </c>
      <c r="H36" s="4" t="s">
        <v>138</v>
      </c>
      <c r="I36" s="4"/>
      <c r="J36" s="4"/>
      <c r="K36" s="4"/>
      <c r="L36" t="s">
        <v>1008</v>
      </c>
      <c r="M36" t="s">
        <v>885</v>
      </c>
      <c r="N36" t="s">
        <v>886</v>
      </c>
      <c r="O36" t="s">
        <v>887</v>
      </c>
      <c r="P36" t="s">
        <v>888</v>
      </c>
    </row>
    <row r="37" spans="1:18">
      <c r="A37" t="s">
        <v>141</v>
      </c>
      <c r="B37" s="4" t="s">
        <v>1218</v>
      </c>
      <c r="C37" s="4" t="str">
        <f t="shared" si="0"/>
        <v xml:space="preserve">RmlP001   </v>
      </c>
      <c r="D37" t="s">
        <v>1004</v>
      </c>
      <c r="E37" t="s">
        <v>1009</v>
      </c>
      <c r="F37" t="s">
        <v>890</v>
      </c>
      <c r="H37" s="4" t="s">
        <v>143</v>
      </c>
      <c r="I37" s="4"/>
      <c r="J37" s="4"/>
      <c r="K37" s="4"/>
      <c r="L37" t="s">
        <v>1010</v>
      </c>
      <c r="M37" t="s">
        <v>885</v>
      </c>
      <c r="N37" t="s">
        <v>886</v>
      </c>
      <c r="O37" t="s">
        <v>887</v>
      </c>
      <c r="P37" t="s">
        <v>888</v>
      </c>
    </row>
    <row r="38" spans="1:18">
      <c r="A38" t="s">
        <v>145</v>
      </c>
      <c r="B38" s="4" t="s">
        <v>1219</v>
      </c>
      <c r="C38" s="4" t="str">
        <f t="shared" si="0"/>
        <v xml:space="preserve">BP6-180914   </v>
      </c>
      <c r="D38" t="s">
        <v>1011</v>
      </c>
      <c r="E38" t="s">
        <v>1012</v>
      </c>
      <c r="F38" t="s">
        <v>890</v>
      </c>
      <c r="H38" s="4" t="s">
        <v>147</v>
      </c>
      <c r="I38" s="4"/>
      <c r="J38" s="4"/>
      <c r="K38" s="4"/>
      <c r="L38" t="s">
        <v>1013</v>
      </c>
      <c r="M38" t="s">
        <v>885</v>
      </c>
      <c r="N38" t="s">
        <v>886</v>
      </c>
      <c r="O38" t="s">
        <v>887</v>
      </c>
      <c r="P38" t="s">
        <v>888</v>
      </c>
    </row>
    <row r="39" spans="1:18">
      <c r="A39" t="s">
        <v>154</v>
      </c>
      <c r="B39" s="4" t="s">
        <v>1221</v>
      </c>
      <c r="C39" s="4" t="str">
        <f t="shared" si="0"/>
        <v xml:space="preserve">PAMC 29148  </v>
      </c>
      <c r="D39" t="s">
        <v>1014</v>
      </c>
      <c r="E39" t="s">
        <v>1017</v>
      </c>
      <c r="F39" t="s">
        <v>890</v>
      </c>
      <c r="H39" s="4" t="s">
        <v>1018</v>
      </c>
      <c r="I39" s="4">
        <v>29148</v>
      </c>
      <c r="J39" s="4"/>
      <c r="K39" s="4"/>
      <c r="L39" t="s">
        <v>915</v>
      </c>
      <c r="M39" t="s">
        <v>901</v>
      </c>
      <c r="N39" t="s">
        <v>886</v>
      </c>
    </row>
    <row r="40" spans="1:18">
      <c r="A40" t="s">
        <v>159</v>
      </c>
      <c r="B40" s="4" t="s">
        <v>1223</v>
      </c>
      <c r="C40" s="4" t="str">
        <f t="shared" si="0"/>
        <v xml:space="preserve">PAMC28606   </v>
      </c>
      <c r="D40" t="s">
        <v>1014</v>
      </c>
      <c r="E40" t="s">
        <v>1015</v>
      </c>
      <c r="H40" s="4" t="s">
        <v>161</v>
      </c>
      <c r="I40" s="4"/>
      <c r="J40" s="4"/>
      <c r="K40" s="4"/>
      <c r="L40" t="s">
        <v>915</v>
      </c>
      <c r="M40" t="s">
        <v>901</v>
      </c>
      <c r="N40" t="s">
        <v>886</v>
      </c>
    </row>
    <row r="41" spans="1:18">
      <c r="A41" t="s">
        <v>149</v>
      </c>
      <c r="B41" s="4" t="s">
        <v>1220</v>
      </c>
      <c r="C41" s="4" t="str">
        <f t="shared" si="0"/>
        <v xml:space="preserve">Uapishka_5   </v>
      </c>
      <c r="D41" t="s">
        <v>1014</v>
      </c>
      <c r="E41" t="s">
        <v>1015</v>
      </c>
      <c r="H41" s="4" t="s">
        <v>151</v>
      </c>
      <c r="I41" s="4"/>
      <c r="J41" s="4"/>
      <c r="K41" s="4"/>
      <c r="L41" t="s">
        <v>1016</v>
      </c>
      <c r="M41" t="s">
        <v>885</v>
      </c>
      <c r="N41" t="s">
        <v>886</v>
      </c>
      <c r="O41" t="s">
        <v>887</v>
      </c>
      <c r="P41" t="s">
        <v>888</v>
      </c>
    </row>
    <row r="42" spans="1:18">
      <c r="A42" t="s">
        <v>157</v>
      </c>
      <c r="B42" s="4" t="s">
        <v>1222</v>
      </c>
      <c r="C42" s="4" t="str">
        <f t="shared" si="0"/>
        <v xml:space="preserve">PAMC 29128  </v>
      </c>
      <c r="D42" t="s">
        <v>1014</v>
      </c>
      <c r="E42" t="s">
        <v>1017</v>
      </c>
      <c r="F42" t="s">
        <v>890</v>
      </c>
      <c r="H42" s="4" t="s">
        <v>1018</v>
      </c>
      <c r="I42" s="4">
        <v>29128</v>
      </c>
      <c r="J42" s="4"/>
      <c r="K42" s="4"/>
      <c r="L42" t="s">
        <v>1019</v>
      </c>
      <c r="M42" t="s">
        <v>885</v>
      </c>
      <c r="N42" t="s">
        <v>886</v>
      </c>
      <c r="O42" t="s">
        <v>887</v>
      </c>
      <c r="P42" t="s">
        <v>888</v>
      </c>
    </row>
    <row r="43" spans="1:18">
      <c r="A43" t="s">
        <v>423</v>
      </c>
      <c r="B43" s="4" t="s">
        <v>1307</v>
      </c>
      <c r="C43" s="5" t="str">
        <f>J43</f>
        <v>private_T1887_metawrap_bin.11</v>
      </c>
      <c r="D43" t="s">
        <v>1088</v>
      </c>
      <c r="E43" t="s">
        <v>1089</v>
      </c>
      <c r="F43" t="s">
        <v>1090</v>
      </c>
      <c r="G43" t="s">
        <v>1020</v>
      </c>
      <c r="H43" t="s">
        <v>1015</v>
      </c>
      <c r="I43" t="s">
        <v>1001</v>
      </c>
      <c r="J43" s="5" t="s">
        <v>1115</v>
      </c>
      <c r="K43" t="s">
        <v>886</v>
      </c>
      <c r="L43" t="s">
        <v>940</v>
      </c>
      <c r="M43" t="s">
        <v>941</v>
      </c>
      <c r="N43" t="s">
        <v>1116</v>
      </c>
      <c r="O43" t="s">
        <v>885</v>
      </c>
      <c r="P43" t="s">
        <v>886</v>
      </c>
      <c r="Q43" t="s">
        <v>887</v>
      </c>
      <c r="R43" t="s">
        <v>888</v>
      </c>
    </row>
    <row r="44" spans="1:18">
      <c r="A44" t="s">
        <v>345</v>
      </c>
      <c r="B44" s="4" t="s">
        <v>1281</v>
      </c>
      <c r="C44" s="5" t="str">
        <f t="shared" ref="C44:C82" si="1">J44</f>
        <v>public_SRR11456913_metawrap_bin.13</v>
      </c>
      <c r="D44" t="s">
        <v>1088</v>
      </c>
      <c r="E44" t="s">
        <v>1089</v>
      </c>
      <c r="F44" t="s">
        <v>1090</v>
      </c>
      <c r="G44" t="s">
        <v>1014</v>
      </c>
      <c r="H44" t="s">
        <v>1015</v>
      </c>
      <c r="I44" t="s">
        <v>1001</v>
      </c>
      <c r="J44" s="5" t="s">
        <v>346</v>
      </c>
      <c r="K44" t="s">
        <v>886</v>
      </c>
      <c r="L44" t="s">
        <v>940</v>
      </c>
      <c r="M44" t="s">
        <v>941</v>
      </c>
      <c r="N44" t="s">
        <v>1096</v>
      </c>
      <c r="O44" t="s">
        <v>885</v>
      </c>
      <c r="P44" t="s">
        <v>886</v>
      </c>
      <c r="Q44" t="s">
        <v>887</v>
      </c>
      <c r="R44" t="s">
        <v>888</v>
      </c>
    </row>
    <row r="45" spans="1:18">
      <c r="A45" t="s">
        <v>433</v>
      </c>
      <c r="B45" s="4" t="s">
        <v>1312</v>
      </c>
      <c r="C45" s="5" t="str">
        <f t="shared" si="1"/>
        <v>public_SRR11456913_metawrap_bin.15</v>
      </c>
      <c r="D45" t="s">
        <v>1088</v>
      </c>
      <c r="E45" t="s">
        <v>1089</v>
      </c>
      <c r="F45" t="s">
        <v>1090</v>
      </c>
      <c r="G45" t="s">
        <v>1125</v>
      </c>
      <c r="H45" t="s">
        <v>1015</v>
      </c>
      <c r="I45" t="s">
        <v>1001</v>
      </c>
      <c r="J45" s="5" t="s">
        <v>1126</v>
      </c>
      <c r="K45" t="s">
        <v>886</v>
      </c>
      <c r="L45" t="s">
        <v>940</v>
      </c>
      <c r="M45" t="s">
        <v>941</v>
      </c>
      <c r="N45" t="s">
        <v>1127</v>
      </c>
      <c r="O45" t="s">
        <v>885</v>
      </c>
      <c r="P45" t="s">
        <v>886</v>
      </c>
      <c r="Q45" t="s">
        <v>887</v>
      </c>
      <c r="R45" t="s">
        <v>888</v>
      </c>
    </row>
    <row r="46" spans="1:18">
      <c r="A46" t="s">
        <v>420</v>
      </c>
      <c r="B46" s="4" t="s">
        <v>1306</v>
      </c>
      <c r="C46" s="5" t="str">
        <f t="shared" si="1"/>
        <v>public_ERR4179390_metawrap_bin.5</v>
      </c>
      <c r="D46" t="s">
        <v>1088</v>
      </c>
      <c r="E46" t="s">
        <v>1089</v>
      </c>
      <c r="F46" t="s">
        <v>1090</v>
      </c>
      <c r="G46" t="s">
        <v>1020</v>
      </c>
      <c r="H46" t="s">
        <v>1015</v>
      </c>
      <c r="I46" t="s">
        <v>1001</v>
      </c>
      <c r="J46" s="5" t="s">
        <v>1113</v>
      </c>
      <c r="K46" t="s">
        <v>886</v>
      </c>
      <c r="L46" t="s">
        <v>940</v>
      </c>
      <c r="M46" t="s">
        <v>941</v>
      </c>
      <c r="N46" t="s">
        <v>1114</v>
      </c>
      <c r="O46" t="s">
        <v>885</v>
      </c>
      <c r="P46" t="s">
        <v>886</v>
      </c>
      <c r="Q46" t="s">
        <v>887</v>
      </c>
      <c r="R46" t="s">
        <v>888</v>
      </c>
    </row>
    <row r="47" spans="1:18">
      <c r="A47" t="s">
        <v>436</v>
      </c>
      <c r="B47" s="4" t="s">
        <v>1313</v>
      </c>
      <c r="C47" s="5" t="str">
        <f t="shared" si="1"/>
        <v>private_T1888_metawrap_bin.14</v>
      </c>
      <c r="D47" t="s">
        <v>1088</v>
      </c>
      <c r="E47" t="s">
        <v>1089</v>
      </c>
      <c r="F47" t="s">
        <v>1090</v>
      </c>
      <c r="G47" t="s">
        <v>1125</v>
      </c>
      <c r="H47" t="s">
        <v>1015</v>
      </c>
      <c r="I47" t="s">
        <v>1001</v>
      </c>
      <c r="J47" s="5" t="s">
        <v>1128</v>
      </c>
      <c r="K47" t="s">
        <v>886</v>
      </c>
      <c r="L47" t="s">
        <v>940</v>
      </c>
      <c r="M47" t="s">
        <v>941</v>
      </c>
      <c r="N47" t="s">
        <v>1129</v>
      </c>
      <c r="O47" t="s">
        <v>885</v>
      </c>
      <c r="P47" t="s">
        <v>886</v>
      </c>
      <c r="Q47" t="s">
        <v>887</v>
      </c>
      <c r="R47" t="s">
        <v>888</v>
      </c>
    </row>
    <row r="48" spans="1:18">
      <c r="A48" t="s">
        <v>342</v>
      </c>
      <c r="B48" s="4" t="s">
        <v>1280</v>
      </c>
      <c r="C48" s="5" t="str">
        <f t="shared" si="1"/>
        <v>private_T1889_metawrap_bin.7</v>
      </c>
      <c r="D48" t="s">
        <v>1088</v>
      </c>
      <c r="E48" t="s">
        <v>1089</v>
      </c>
      <c r="F48" t="s">
        <v>1090</v>
      </c>
      <c r="G48" t="s">
        <v>1014</v>
      </c>
      <c r="H48" t="s">
        <v>1015</v>
      </c>
      <c r="I48" t="s">
        <v>1001</v>
      </c>
      <c r="J48" s="5" t="s">
        <v>343</v>
      </c>
      <c r="K48" t="s">
        <v>886</v>
      </c>
      <c r="L48" t="s">
        <v>940</v>
      </c>
      <c r="M48" t="s">
        <v>941</v>
      </c>
      <c r="N48" t="s">
        <v>1095</v>
      </c>
      <c r="O48" t="s">
        <v>885</v>
      </c>
      <c r="P48" t="s">
        <v>886</v>
      </c>
      <c r="Q48" t="s">
        <v>887</v>
      </c>
      <c r="R48" t="s">
        <v>888</v>
      </c>
    </row>
    <row r="49" spans="1:18">
      <c r="A49" t="s">
        <v>375</v>
      </c>
      <c r="B49" s="4" t="s">
        <v>1291</v>
      </c>
      <c r="C49" s="5" t="str">
        <f t="shared" si="1"/>
        <v>private_GTX0158_metawrap_bin.6</v>
      </c>
      <c r="D49" t="s">
        <v>1088</v>
      </c>
      <c r="E49" t="s">
        <v>1089</v>
      </c>
      <c r="F49" t="s">
        <v>1090</v>
      </c>
      <c r="G49" t="s">
        <v>1014</v>
      </c>
      <c r="H49" t="s">
        <v>1015</v>
      </c>
      <c r="I49" t="s">
        <v>1001</v>
      </c>
      <c r="J49" s="5" t="s">
        <v>376</v>
      </c>
      <c r="K49" t="s">
        <v>886</v>
      </c>
      <c r="L49" t="s">
        <v>940</v>
      </c>
      <c r="M49" t="s">
        <v>941</v>
      </c>
      <c r="N49" t="s">
        <v>1105</v>
      </c>
      <c r="O49" t="s">
        <v>885</v>
      </c>
      <c r="P49" t="s">
        <v>886</v>
      </c>
      <c r="Q49" t="s">
        <v>887</v>
      </c>
      <c r="R49" t="s">
        <v>888</v>
      </c>
    </row>
    <row r="50" spans="1:18">
      <c r="A50" t="s">
        <v>378</v>
      </c>
      <c r="B50" s="4" t="s">
        <v>1292</v>
      </c>
      <c r="C50" s="5" t="str">
        <f t="shared" si="1"/>
        <v>private_GTX0163_metawrap_bin.18</v>
      </c>
      <c r="D50" t="s">
        <v>1088</v>
      </c>
      <c r="E50" t="s">
        <v>1089</v>
      </c>
      <c r="F50" t="s">
        <v>1090</v>
      </c>
      <c r="G50" t="s">
        <v>1014</v>
      </c>
      <c r="H50" t="s">
        <v>1015</v>
      </c>
      <c r="I50" t="s">
        <v>1001</v>
      </c>
      <c r="J50" s="5" t="s">
        <v>379</v>
      </c>
      <c r="K50" t="s">
        <v>886</v>
      </c>
      <c r="L50" t="s">
        <v>940</v>
      </c>
      <c r="M50" t="s">
        <v>941</v>
      </c>
      <c r="N50" t="s">
        <v>1106</v>
      </c>
      <c r="O50" t="s">
        <v>885</v>
      </c>
      <c r="P50" t="s">
        <v>886</v>
      </c>
      <c r="Q50" t="s">
        <v>887</v>
      </c>
      <c r="R50" t="s">
        <v>888</v>
      </c>
    </row>
    <row r="51" spans="1:18">
      <c r="A51" t="s">
        <v>488</v>
      </c>
      <c r="B51" s="4" t="s">
        <v>1334</v>
      </c>
      <c r="C51" s="5" t="str">
        <f t="shared" si="1"/>
        <v>private_T1916_metawrap_bin.9</v>
      </c>
      <c r="D51" t="s">
        <v>1088</v>
      </c>
      <c r="E51" t="s">
        <v>1089</v>
      </c>
      <c r="F51" t="s">
        <v>1090</v>
      </c>
      <c r="G51" t="s">
        <v>20</v>
      </c>
      <c r="H51" t="s">
        <v>1000</v>
      </c>
      <c r="I51" t="s">
        <v>1001</v>
      </c>
      <c r="J51" s="5" t="s">
        <v>1153</v>
      </c>
      <c r="K51" t="s">
        <v>886</v>
      </c>
      <c r="L51" t="s">
        <v>940</v>
      </c>
      <c r="M51" t="s">
        <v>941</v>
      </c>
      <c r="N51" t="s">
        <v>1154</v>
      </c>
      <c r="O51" t="s">
        <v>885</v>
      </c>
      <c r="P51" t="s">
        <v>886</v>
      </c>
      <c r="Q51" t="s">
        <v>887</v>
      </c>
      <c r="R51" t="s">
        <v>888</v>
      </c>
    </row>
    <row r="52" spans="1:18">
      <c r="A52" t="s">
        <v>381</v>
      </c>
      <c r="B52" s="4" t="s">
        <v>1293</v>
      </c>
      <c r="C52" s="5" t="str">
        <f t="shared" si="1"/>
        <v>private_T1916_metawrap_bin.13</v>
      </c>
      <c r="D52" t="s">
        <v>1088</v>
      </c>
      <c r="E52" t="s">
        <v>1089</v>
      </c>
      <c r="F52" t="s">
        <v>1090</v>
      </c>
      <c r="G52" t="s">
        <v>1014</v>
      </c>
      <c r="H52" t="s">
        <v>1015</v>
      </c>
      <c r="I52" t="s">
        <v>1001</v>
      </c>
      <c r="J52" s="5" t="s">
        <v>382</v>
      </c>
      <c r="K52" t="s">
        <v>886</v>
      </c>
      <c r="L52" t="s">
        <v>940</v>
      </c>
      <c r="M52" t="s">
        <v>941</v>
      </c>
      <c r="N52" t="s">
        <v>1107</v>
      </c>
      <c r="O52" t="s">
        <v>885</v>
      </c>
      <c r="P52" t="s">
        <v>886</v>
      </c>
      <c r="Q52" t="s">
        <v>887</v>
      </c>
      <c r="R52" t="s">
        <v>888</v>
      </c>
    </row>
    <row r="53" spans="1:18">
      <c r="A53" t="s">
        <v>492</v>
      </c>
      <c r="B53" s="4" t="s">
        <v>1336</v>
      </c>
      <c r="C53" s="5" t="str">
        <f t="shared" si="1"/>
        <v>private_T1916_metawrap_bin.5</v>
      </c>
      <c r="D53" t="s">
        <v>1088</v>
      </c>
      <c r="E53" t="s">
        <v>1089</v>
      </c>
      <c r="F53" t="s">
        <v>1090</v>
      </c>
      <c r="G53" t="s">
        <v>20</v>
      </c>
      <c r="H53" t="s">
        <v>1000</v>
      </c>
      <c r="I53" t="s">
        <v>1001</v>
      </c>
      <c r="J53" s="5" t="s">
        <v>1157</v>
      </c>
      <c r="K53" t="s">
        <v>886</v>
      </c>
      <c r="L53" t="s">
        <v>940</v>
      </c>
      <c r="M53" t="s">
        <v>941</v>
      </c>
      <c r="N53" t="s">
        <v>1158</v>
      </c>
      <c r="O53" t="s">
        <v>885</v>
      </c>
      <c r="P53" t="s">
        <v>886</v>
      </c>
      <c r="Q53" t="s">
        <v>887</v>
      </c>
      <c r="R53" t="s">
        <v>888</v>
      </c>
    </row>
    <row r="54" spans="1:18">
      <c r="A54" t="s">
        <v>490</v>
      </c>
      <c r="B54" s="4" t="s">
        <v>1335</v>
      </c>
      <c r="C54" s="5" t="str">
        <f t="shared" si="1"/>
        <v>private_T1916_metawrap_bin.12</v>
      </c>
      <c r="D54" t="s">
        <v>1088</v>
      </c>
      <c r="E54" t="s">
        <v>1089</v>
      </c>
      <c r="F54" t="s">
        <v>1090</v>
      </c>
      <c r="G54" t="s">
        <v>20</v>
      </c>
      <c r="H54" t="s">
        <v>1000</v>
      </c>
      <c r="I54" t="s">
        <v>1001</v>
      </c>
      <c r="J54" s="5" t="s">
        <v>1155</v>
      </c>
      <c r="K54" t="s">
        <v>886</v>
      </c>
      <c r="L54" t="s">
        <v>940</v>
      </c>
      <c r="M54" t="s">
        <v>941</v>
      </c>
      <c r="N54" t="s">
        <v>1156</v>
      </c>
      <c r="O54" t="s">
        <v>885</v>
      </c>
      <c r="P54" t="s">
        <v>886</v>
      </c>
      <c r="Q54" t="s">
        <v>887</v>
      </c>
      <c r="R54" t="s">
        <v>888</v>
      </c>
    </row>
    <row r="55" spans="1:18">
      <c r="A55" t="s">
        <v>348</v>
      </c>
      <c r="B55" s="4" t="s">
        <v>1282</v>
      </c>
      <c r="C55" s="5" t="str">
        <f t="shared" si="1"/>
        <v>private_GTX0163_metawrap_bin.14</v>
      </c>
      <c r="D55" t="s">
        <v>1088</v>
      </c>
      <c r="E55" t="s">
        <v>1089</v>
      </c>
      <c r="F55" t="s">
        <v>1090</v>
      </c>
      <c r="G55" t="s">
        <v>1014</v>
      </c>
      <c r="H55" t="s">
        <v>1015</v>
      </c>
      <c r="I55" t="s">
        <v>1001</v>
      </c>
      <c r="J55" s="5" t="s">
        <v>349</v>
      </c>
      <c r="K55" t="s">
        <v>886</v>
      </c>
      <c r="L55" t="s">
        <v>940</v>
      </c>
      <c r="M55" t="s">
        <v>941</v>
      </c>
      <c r="N55" t="s">
        <v>1097</v>
      </c>
      <c r="O55" t="s">
        <v>885</v>
      </c>
      <c r="P55" t="s">
        <v>886</v>
      </c>
      <c r="Q55" t="s">
        <v>887</v>
      </c>
      <c r="R55" t="s">
        <v>888</v>
      </c>
    </row>
    <row r="56" spans="1:18">
      <c r="A56" t="s">
        <v>438</v>
      </c>
      <c r="B56" s="4" t="s">
        <v>1314</v>
      </c>
      <c r="C56" s="5" t="str">
        <f t="shared" si="1"/>
        <v>public_SRR11456914_metawrap_bin.24</v>
      </c>
      <c r="D56" t="s">
        <v>1088</v>
      </c>
      <c r="E56" t="s">
        <v>1089</v>
      </c>
      <c r="F56" t="s">
        <v>1090</v>
      </c>
      <c r="G56" t="s">
        <v>1125</v>
      </c>
      <c r="H56" t="s">
        <v>1015</v>
      </c>
      <c r="I56" t="s">
        <v>1001</v>
      </c>
      <c r="J56" s="5" t="s">
        <v>1130</v>
      </c>
      <c r="K56" t="s">
        <v>886</v>
      </c>
      <c r="L56" t="s">
        <v>940</v>
      </c>
      <c r="M56" t="s">
        <v>941</v>
      </c>
      <c r="N56" t="s">
        <v>1131</v>
      </c>
      <c r="O56" t="s">
        <v>885</v>
      </c>
      <c r="P56" t="s">
        <v>886</v>
      </c>
      <c r="Q56" t="s">
        <v>887</v>
      </c>
      <c r="R56" t="s">
        <v>888</v>
      </c>
    </row>
    <row r="57" spans="1:18">
      <c r="A57" t="s">
        <v>351</v>
      </c>
      <c r="B57" s="4" t="s">
        <v>1283</v>
      </c>
      <c r="C57" s="5" t="str">
        <f t="shared" si="1"/>
        <v>public_SRR11456919_metawrap_bin.3</v>
      </c>
      <c r="D57" t="s">
        <v>1088</v>
      </c>
      <c r="E57" t="s">
        <v>1089</v>
      </c>
      <c r="F57" t="s">
        <v>1090</v>
      </c>
      <c r="G57" t="s">
        <v>1014</v>
      </c>
      <c r="H57" t="s">
        <v>1015</v>
      </c>
      <c r="I57" t="s">
        <v>1001</v>
      </c>
      <c r="J57" s="5" t="s">
        <v>352</v>
      </c>
      <c r="K57" t="s">
        <v>886</v>
      </c>
      <c r="L57" t="s">
        <v>940</v>
      </c>
      <c r="M57" t="s">
        <v>941</v>
      </c>
      <c r="N57" t="s">
        <v>1098</v>
      </c>
      <c r="O57" t="s">
        <v>885</v>
      </c>
      <c r="P57" t="s">
        <v>886</v>
      </c>
      <c r="Q57" t="s">
        <v>887</v>
      </c>
      <c r="R57" t="s">
        <v>888</v>
      </c>
    </row>
    <row r="58" spans="1:18">
      <c r="A58" t="s">
        <v>496</v>
      </c>
      <c r="B58" s="4" t="s">
        <v>1338</v>
      </c>
      <c r="C58" s="5" t="str">
        <f t="shared" si="1"/>
        <v>private_TS1974_metawrap_bin.3</v>
      </c>
      <c r="D58" t="s">
        <v>1088</v>
      </c>
      <c r="E58" t="s">
        <v>1089</v>
      </c>
      <c r="F58" t="s">
        <v>1090</v>
      </c>
      <c r="G58" t="s">
        <v>20</v>
      </c>
      <c r="H58" t="s">
        <v>1000</v>
      </c>
      <c r="I58" t="s">
        <v>1001</v>
      </c>
      <c r="J58" s="5" t="s">
        <v>1161</v>
      </c>
      <c r="K58" t="s">
        <v>886</v>
      </c>
      <c r="L58" t="s">
        <v>940</v>
      </c>
      <c r="M58" t="s">
        <v>941</v>
      </c>
      <c r="N58" t="s">
        <v>1162</v>
      </c>
      <c r="O58" t="s">
        <v>885</v>
      </c>
      <c r="P58" t="s">
        <v>886</v>
      </c>
      <c r="Q58" t="s">
        <v>887</v>
      </c>
      <c r="R58" t="s">
        <v>888</v>
      </c>
    </row>
    <row r="59" spans="1:18">
      <c r="A59" t="s">
        <v>494</v>
      </c>
      <c r="B59" s="4" t="s">
        <v>1337</v>
      </c>
      <c r="C59" s="5" t="str">
        <f t="shared" si="1"/>
        <v>public_SRR11456919_metawrap_bin.7</v>
      </c>
      <c r="D59" t="s">
        <v>1088</v>
      </c>
      <c r="E59" t="s">
        <v>1089</v>
      </c>
      <c r="F59" t="s">
        <v>1090</v>
      </c>
      <c r="G59" t="s">
        <v>20</v>
      </c>
      <c r="H59" t="s">
        <v>1000</v>
      </c>
      <c r="I59" t="s">
        <v>1001</v>
      </c>
      <c r="J59" s="5" t="s">
        <v>1159</v>
      </c>
      <c r="K59" t="s">
        <v>886</v>
      </c>
      <c r="L59" t="s">
        <v>940</v>
      </c>
      <c r="M59" t="s">
        <v>941</v>
      </c>
      <c r="N59" t="s">
        <v>1160</v>
      </c>
      <c r="O59" t="s">
        <v>885</v>
      </c>
      <c r="P59" t="s">
        <v>886</v>
      </c>
      <c r="Q59" t="s">
        <v>887</v>
      </c>
      <c r="R59" t="s">
        <v>888</v>
      </c>
    </row>
    <row r="60" spans="1:18">
      <c r="A60" t="s">
        <v>425</v>
      </c>
      <c r="B60" s="4" t="s">
        <v>1308</v>
      </c>
      <c r="C60" s="5" t="str">
        <f t="shared" si="1"/>
        <v>public_SRR11456921_metawrap_bin.21</v>
      </c>
      <c r="D60" t="s">
        <v>1088</v>
      </c>
      <c r="E60" t="s">
        <v>1089</v>
      </c>
      <c r="F60" t="s">
        <v>1090</v>
      </c>
      <c r="G60" t="s">
        <v>1020</v>
      </c>
      <c r="H60" t="s">
        <v>1015</v>
      </c>
      <c r="I60" t="s">
        <v>1001</v>
      </c>
      <c r="J60" s="5" t="s">
        <v>1117</v>
      </c>
      <c r="K60" t="s">
        <v>886</v>
      </c>
      <c r="L60" t="s">
        <v>940</v>
      </c>
      <c r="M60" t="s">
        <v>941</v>
      </c>
      <c r="N60" t="s">
        <v>1118</v>
      </c>
      <c r="O60" t="s">
        <v>885</v>
      </c>
      <c r="P60" t="s">
        <v>886</v>
      </c>
      <c r="Q60" t="s">
        <v>887</v>
      </c>
      <c r="R60" t="s">
        <v>888</v>
      </c>
    </row>
    <row r="61" spans="1:18">
      <c r="A61" t="s">
        <v>384</v>
      </c>
      <c r="B61" s="4" t="s">
        <v>1294</v>
      </c>
      <c r="C61" s="5" t="str">
        <f t="shared" si="1"/>
        <v>public_SRR12240183_metawrap_bin.1</v>
      </c>
      <c r="D61" t="s">
        <v>1088</v>
      </c>
      <c r="E61" t="s">
        <v>1089</v>
      </c>
      <c r="F61" t="s">
        <v>1090</v>
      </c>
      <c r="G61" t="s">
        <v>1014</v>
      </c>
      <c r="H61" t="s">
        <v>1015</v>
      </c>
      <c r="I61" t="s">
        <v>1001</v>
      </c>
      <c r="J61" s="5" t="s">
        <v>385</v>
      </c>
      <c r="K61" t="s">
        <v>886</v>
      </c>
      <c r="L61" t="s">
        <v>940</v>
      </c>
      <c r="M61" t="s">
        <v>941</v>
      </c>
      <c r="N61" t="s">
        <v>1108</v>
      </c>
      <c r="O61" t="s">
        <v>885</v>
      </c>
      <c r="P61" t="s">
        <v>886</v>
      </c>
      <c r="Q61" t="s">
        <v>887</v>
      </c>
      <c r="R61" t="s">
        <v>888</v>
      </c>
    </row>
    <row r="62" spans="1:18">
      <c r="A62" t="s">
        <v>329</v>
      </c>
      <c r="B62" s="4" t="s">
        <v>1276</v>
      </c>
      <c r="C62" s="5" t="str">
        <f t="shared" si="1"/>
        <v>public_SRR12240177_metawrap_bin.1</v>
      </c>
      <c r="D62" t="s">
        <v>1088</v>
      </c>
      <c r="E62" t="s">
        <v>1089</v>
      </c>
      <c r="F62" t="s">
        <v>1090</v>
      </c>
      <c r="G62" t="s">
        <v>20</v>
      </c>
      <c r="H62" t="s">
        <v>1000</v>
      </c>
      <c r="I62" t="s">
        <v>1001</v>
      </c>
      <c r="J62" s="5" t="s">
        <v>878</v>
      </c>
      <c r="K62" t="s">
        <v>886</v>
      </c>
      <c r="L62" t="s">
        <v>940</v>
      </c>
      <c r="M62" t="s">
        <v>941</v>
      </c>
      <c r="N62" t="s">
        <v>1091</v>
      </c>
      <c r="O62" t="s">
        <v>885</v>
      </c>
      <c r="P62" t="s">
        <v>886</v>
      </c>
      <c r="Q62" t="s">
        <v>887</v>
      </c>
      <c r="R62" t="s">
        <v>888</v>
      </c>
    </row>
    <row r="63" spans="1:18">
      <c r="A63" t="s">
        <v>498</v>
      </c>
      <c r="B63" s="4" t="s">
        <v>1339</v>
      </c>
      <c r="C63" s="5" t="str">
        <f t="shared" si="1"/>
        <v>public_SRR13685165_metawrap_bin.1</v>
      </c>
      <c r="D63" t="s">
        <v>1088</v>
      </c>
      <c r="E63" t="s">
        <v>1089</v>
      </c>
      <c r="F63" t="s">
        <v>1090</v>
      </c>
      <c r="G63" t="s">
        <v>20</v>
      </c>
      <c r="H63" t="s">
        <v>1000</v>
      </c>
      <c r="I63" t="s">
        <v>1001</v>
      </c>
      <c r="J63" s="5" t="s">
        <v>1163</v>
      </c>
      <c r="K63" t="s">
        <v>886</v>
      </c>
      <c r="L63" t="s">
        <v>940</v>
      </c>
      <c r="M63" t="s">
        <v>941</v>
      </c>
      <c r="N63" t="s">
        <v>1164</v>
      </c>
      <c r="O63" t="s">
        <v>885</v>
      </c>
      <c r="P63" t="s">
        <v>886</v>
      </c>
      <c r="Q63" t="s">
        <v>887</v>
      </c>
      <c r="R63" t="s">
        <v>888</v>
      </c>
    </row>
    <row r="64" spans="1:18">
      <c r="A64" t="s">
        <v>354</v>
      </c>
      <c r="B64" s="4" t="s">
        <v>1284</v>
      </c>
      <c r="C64" s="5" t="str">
        <f t="shared" si="1"/>
        <v>private_T1916_metawrap_bin.6</v>
      </c>
      <c r="D64" t="s">
        <v>1088</v>
      </c>
      <c r="E64" t="s">
        <v>1089</v>
      </c>
      <c r="F64" t="s">
        <v>1090</v>
      </c>
      <c r="G64" t="s">
        <v>1014</v>
      </c>
      <c r="H64" t="s">
        <v>1015</v>
      </c>
      <c r="I64" t="s">
        <v>1001</v>
      </c>
      <c r="J64" s="5" t="s">
        <v>355</v>
      </c>
      <c r="K64" t="s">
        <v>886</v>
      </c>
      <c r="L64" t="s">
        <v>940</v>
      </c>
      <c r="M64" t="s">
        <v>941</v>
      </c>
      <c r="N64" t="s">
        <v>1099</v>
      </c>
      <c r="O64" t="s">
        <v>885</v>
      </c>
      <c r="P64" t="s">
        <v>886</v>
      </c>
      <c r="Q64" t="s">
        <v>887</v>
      </c>
      <c r="R64" t="s">
        <v>888</v>
      </c>
    </row>
    <row r="65" spans="1:18">
      <c r="A65" t="s">
        <v>427</v>
      </c>
      <c r="B65" s="4" t="s">
        <v>1309</v>
      </c>
      <c r="C65" s="5" t="str">
        <f t="shared" si="1"/>
        <v>public_SRR14722230_metawrap_bin.3</v>
      </c>
      <c r="D65" t="s">
        <v>1088</v>
      </c>
      <c r="E65" t="s">
        <v>1089</v>
      </c>
      <c r="F65" t="s">
        <v>1090</v>
      </c>
      <c r="G65" t="s">
        <v>1020</v>
      </c>
      <c r="H65" t="s">
        <v>1015</v>
      </c>
      <c r="I65" t="s">
        <v>1001</v>
      </c>
      <c r="J65" s="5" t="s">
        <v>1119</v>
      </c>
      <c r="K65" t="s">
        <v>886</v>
      </c>
      <c r="L65" t="s">
        <v>940</v>
      </c>
      <c r="M65" t="s">
        <v>941</v>
      </c>
      <c r="N65" t="s">
        <v>1120</v>
      </c>
      <c r="O65" t="s">
        <v>885</v>
      </c>
      <c r="P65" t="s">
        <v>886</v>
      </c>
      <c r="Q65" t="s">
        <v>887</v>
      </c>
      <c r="R65" t="s">
        <v>888</v>
      </c>
    </row>
    <row r="66" spans="1:18">
      <c r="A66" t="s">
        <v>387</v>
      </c>
      <c r="B66" s="4" t="s">
        <v>1295</v>
      </c>
      <c r="C66" s="5" t="str">
        <f t="shared" si="1"/>
        <v>public_SRR11456919_metawrap_bin.13</v>
      </c>
      <c r="D66" t="s">
        <v>1088</v>
      </c>
      <c r="E66" t="s">
        <v>1089</v>
      </c>
      <c r="F66" t="s">
        <v>1090</v>
      </c>
      <c r="G66" t="s">
        <v>1014</v>
      </c>
      <c r="H66" t="s">
        <v>1015</v>
      </c>
      <c r="I66" t="s">
        <v>1001</v>
      </c>
      <c r="J66" s="5" t="s">
        <v>388</v>
      </c>
      <c r="K66" t="s">
        <v>886</v>
      </c>
      <c r="L66" t="s">
        <v>940</v>
      </c>
      <c r="M66" t="s">
        <v>941</v>
      </c>
      <c r="N66" t="s">
        <v>1109</v>
      </c>
      <c r="O66" t="s">
        <v>885</v>
      </c>
      <c r="P66" t="s">
        <v>886</v>
      </c>
      <c r="Q66" t="s">
        <v>887</v>
      </c>
      <c r="R66" t="s">
        <v>888</v>
      </c>
    </row>
    <row r="67" spans="1:18">
      <c r="A67" t="s">
        <v>440</v>
      </c>
      <c r="B67" s="4" t="s">
        <v>1315</v>
      </c>
      <c r="C67" s="5" t="str">
        <f t="shared" si="1"/>
        <v>public_SRR14722230_metawrap_bin.1</v>
      </c>
      <c r="D67" t="s">
        <v>1088</v>
      </c>
      <c r="E67" t="s">
        <v>1089</v>
      </c>
      <c r="F67" t="s">
        <v>1090</v>
      </c>
      <c r="G67" t="s">
        <v>1125</v>
      </c>
      <c r="H67" t="s">
        <v>1015</v>
      </c>
      <c r="I67" t="s">
        <v>1001</v>
      </c>
      <c r="J67" s="5" t="s">
        <v>1132</v>
      </c>
      <c r="K67" t="s">
        <v>886</v>
      </c>
      <c r="L67" t="s">
        <v>940</v>
      </c>
      <c r="M67" t="s">
        <v>941</v>
      </c>
      <c r="N67" t="s">
        <v>1133</v>
      </c>
      <c r="O67" t="s">
        <v>885</v>
      </c>
      <c r="P67" t="s">
        <v>886</v>
      </c>
      <c r="Q67" t="s">
        <v>887</v>
      </c>
      <c r="R67" t="s">
        <v>888</v>
      </c>
    </row>
    <row r="68" spans="1:18">
      <c r="A68" t="s">
        <v>500</v>
      </c>
      <c r="B68" s="4" t="s">
        <v>1340</v>
      </c>
      <c r="C68" s="5" t="str">
        <f t="shared" si="1"/>
        <v>public_SRR14722129_metawrap_bin.1</v>
      </c>
      <c r="D68" t="s">
        <v>1088</v>
      </c>
      <c r="E68" t="s">
        <v>1089</v>
      </c>
      <c r="F68" t="s">
        <v>1090</v>
      </c>
      <c r="G68" t="s">
        <v>20</v>
      </c>
      <c r="H68" t="s">
        <v>1000</v>
      </c>
      <c r="I68" t="s">
        <v>1001</v>
      </c>
      <c r="J68" s="5" t="s">
        <v>1165</v>
      </c>
      <c r="K68" t="s">
        <v>886</v>
      </c>
      <c r="L68" t="s">
        <v>940</v>
      </c>
      <c r="M68" t="s">
        <v>941</v>
      </c>
      <c r="N68" t="s">
        <v>1166</v>
      </c>
      <c r="O68" t="s">
        <v>885</v>
      </c>
      <c r="P68" t="s">
        <v>886</v>
      </c>
      <c r="Q68" t="s">
        <v>887</v>
      </c>
      <c r="R68" t="s">
        <v>888</v>
      </c>
    </row>
    <row r="69" spans="1:18">
      <c r="A69" t="s">
        <v>502</v>
      </c>
      <c r="B69" s="4" t="s">
        <v>1341</v>
      </c>
      <c r="C69" s="5" t="str">
        <f t="shared" si="1"/>
        <v>public_SRR14722022_metawrap_bin.1</v>
      </c>
      <c r="D69" t="s">
        <v>1088</v>
      </c>
      <c r="E69" t="s">
        <v>1089</v>
      </c>
      <c r="F69" t="s">
        <v>1090</v>
      </c>
      <c r="G69" t="s">
        <v>20</v>
      </c>
      <c r="H69" t="s">
        <v>1000</v>
      </c>
      <c r="I69" t="s">
        <v>1001</v>
      </c>
      <c r="J69" s="5" t="s">
        <v>1167</v>
      </c>
      <c r="K69" t="s">
        <v>886</v>
      </c>
      <c r="L69" t="s">
        <v>940</v>
      </c>
      <c r="M69" t="s">
        <v>941</v>
      </c>
      <c r="N69" t="s">
        <v>1168</v>
      </c>
      <c r="O69" t="s">
        <v>885</v>
      </c>
      <c r="P69" t="s">
        <v>886</v>
      </c>
      <c r="Q69" t="s">
        <v>887</v>
      </c>
      <c r="R69" t="s">
        <v>888</v>
      </c>
    </row>
    <row r="70" spans="1:18">
      <c r="A70" t="s">
        <v>390</v>
      </c>
      <c r="B70" s="4" t="s">
        <v>1296</v>
      </c>
      <c r="C70" s="5" t="str">
        <f t="shared" si="1"/>
        <v>public_SRR14721964_metawrap_bin.1</v>
      </c>
      <c r="D70" t="s">
        <v>1088</v>
      </c>
      <c r="E70" t="s">
        <v>1089</v>
      </c>
      <c r="F70" t="s">
        <v>1090</v>
      </c>
      <c r="G70" t="s">
        <v>1014</v>
      </c>
      <c r="H70" t="s">
        <v>1015</v>
      </c>
      <c r="I70" t="s">
        <v>1001</v>
      </c>
      <c r="J70" s="5" t="s">
        <v>391</v>
      </c>
      <c r="K70" t="s">
        <v>886</v>
      </c>
      <c r="L70" t="s">
        <v>940</v>
      </c>
      <c r="M70" t="s">
        <v>941</v>
      </c>
      <c r="N70" t="s">
        <v>1110</v>
      </c>
      <c r="O70" t="s">
        <v>885</v>
      </c>
      <c r="P70" t="s">
        <v>886</v>
      </c>
      <c r="Q70" t="s">
        <v>887</v>
      </c>
      <c r="R70" t="s">
        <v>888</v>
      </c>
    </row>
    <row r="71" spans="1:18">
      <c r="A71" t="s">
        <v>510</v>
      </c>
      <c r="B71" s="4" t="s">
        <v>1345</v>
      </c>
      <c r="C71" s="5" t="str">
        <f t="shared" si="1"/>
        <v>public_SRR11456922_metawrap_bin.5</v>
      </c>
      <c r="D71" t="s">
        <v>1088</v>
      </c>
      <c r="E71" t="s">
        <v>1089</v>
      </c>
      <c r="F71" t="s">
        <v>1090</v>
      </c>
      <c r="G71" t="s">
        <v>20</v>
      </c>
      <c r="H71" t="s">
        <v>1000</v>
      </c>
      <c r="I71" t="s">
        <v>1001</v>
      </c>
      <c r="J71" s="5" t="s">
        <v>1175</v>
      </c>
      <c r="K71" t="s">
        <v>886</v>
      </c>
      <c r="L71" t="s">
        <v>940</v>
      </c>
      <c r="M71" t="s">
        <v>941</v>
      </c>
      <c r="N71" t="s">
        <v>1176</v>
      </c>
      <c r="O71" t="s">
        <v>885</v>
      </c>
      <c r="P71" t="s">
        <v>886</v>
      </c>
      <c r="Q71" t="s">
        <v>887</v>
      </c>
      <c r="R71" t="s">
        <v>888</v>
      </c>
    </row>
    <row r="72" spans="1:18">
      <c r="A72" t="s">
        <v>393</v>
      </c>
      <c r="B72" s="4" t="s">
        <v>1297</v>
      </c>
      <c r="C72" s="5" t="str">
        <f t="shared" si="1"/>
        <v>private_T1888_metawrap_bin.15</v>
      </c>
      <c r="D72" t="s">
        <v>1088</v>
      </c>
      <c r="E72" t="s">
        <v>1089</v>
      </c>
      <c r="F72" t="s">
        <v>1090</v>
      </c>
      <c r="G72" t="s">
        <v>1014</v>
      </c>
      <c r="H72" t="s">
        <v>1015</v>
      </c>
      <c r="I72" t="s">
        <v>1001</v>
      </c>
      <c r="J72" s="5" t="s">
        <v>394</v>
      </c>
      <c r="K72" t="s">
        <v>886</v>
      </c>
      <c r="L72" t="s">
        <v>940</v>
      </c>
      <c r="M72" t="s">
        <v>941</v>
      </c>
      <c r="N72" t="s">
        <v>1111</v>
      </c>
      <c r="O72" t="s">
        <v>885</v>
      </c>
      <c r="P72" t="s">
        <v>886</v>
      </c>
      <c r="Q72" t="s">
        <v>887</v>
      </c>
      <c r="R72" t="s">
        <v>888</v>
      </c>
    </row>
    <row r="73" spans="1:18">
      <c r="A73" t="s">
        <v>504</v>
      </c>
      <c r="B73" s="4" t="s">
        <v>1342</v>
      </c>
      <c r="C73" s="5" t="str">
        <f t="shared" si="1"/>
        <v>private_T1894_metawrap_bin.9</v>
      </c>
      <c r="D73" t="s">
        <v>1088</v>
      </c>
      <c r="E73" t="s">
        <v>1089</v>
      </c>
      <c r="F73" t="s">
        <v>1090</v>
      </c>
      <c r="G73" t="s">
        <v>20</v>
      </c>
      <c r="H73" t="s">
        <v>1000</v>
      </c>
      <c r="I73" t="s">
        <v>1001</v>
      </c>
      <c r="J73" s="5" t="s">
        <v>1169</v>
      </c>
      <c r="K73" t="s">
        <v>886</v>
      </c>
      <c r="L73" t="s">
        <v>940</v>
      </c>
      <c r="M73" t="s">
        <v>941</v>
      </c>
      <c r="N73" t="s">
        <v>1170</v>
      </c>
      <c r="O73" t="s">
        <v>885</v>
      </c>
      <c r="P73" t="s">
        <v>886</v>
      </c>
      <c r="Q73" t="s">
        <v>887</v>
      </c>
      <c r="R73" t="s">
        <v>888</v>
      </c>
    </row>
    <row r="74" spans="1:18">
      <c r="A74" t="s">
        <v>357</v>
      </c>
      <c r="B74" s="4" t="s">
        <v>1285</v>
      </c>
      <c r="C74" s="5" t="str">
        <f t="shared" si="1"/>
        <v>public_SRR14722163_metawrap_bin.2</v>
      </c>
      <c r="D74" t="s">
        <v>1088</v>
      </c>
      <c r="E74" t="s">
        <v>1089</v>
      </c>
      <c r="F74" t="s">
        <v>1090</v>
      </c>
      <c r="G74" t="s">
        <v>1014</v>
      </c>
      <c r="H74" t="s">
        <v>1015</v>
      </c>
      <c r="I74" t="s">
        <v>1001</v>
      </c>
      <c r="J74" s="5" t="s">
        <v>358</v>
      </c>
      <c r="K74" t="s">
        <v>886</v>
      </c>
      <c r="L74" t="s">
        <v>940</v>
      </c>
      <c r="M74" t="s">
        <v>941</v>
      </c>
      <c r="N74" t="s">
        <v>1100</v>
      </c>
      <c r="O74" t="s">
        <v>885</v>
      </c>
      <c r="P74" t="s">
        <v>886</v>
      </c>
      <c r="Q74" t="s">
        <v>887</v>
      </c>
      <c r="R74" t="s">
        <v>888</v>
      </c>
    </row>
    <row r="75" spans="1:18">
      <c r="A75" t="s">
        <v>506</v>
      </c>
      <c r="B75" s="4" t="s">
        <v>1343</v>
      </c>
      <c r="C75" s="5" t="str">
        <f t="shared" si="1"/>
        <v>public_SRR14722170_metawrap_bin.3</v>
      </c>
      <c r="D75" t="s">
        <v>1088</v>
      </c>
      <c r="E75" t="s">
        <v>1089</v>
      </c>
      <c r="F75" t="s">
        <v>1090</v>
      </c>
      <c r="G75" t="s">
        <v>20</v>
      </c>
      <c r="H75" t="s">
        <v>1000</v>
      </c>
      <c r="I75" t="s">
        <v>1001</v>
      </c>
      <c r="J75" s="5" t="s">
        <v>1171</v>
      </c>
      <c r="K75" t="s">
        <v>886</v>
      </c>
      <c r="L75" t="s">
        <v>940</v>
      </c>
      <c r="M75" t="s">
        <v>941</v>
      </c>
      <c r="N75" t="s">
        <v>1172</v>
      </c>
      <c r="O75" t="s">
        <v>885</v>
      </c>
      <c r="P75" t="s">
        <v>886</v>
      </c>
      <c r="Q75" t="s">
        <v>887</v>
      </c>
      <c r="R75" t="s">
        <v>888</v>
      </c>
    </row>
    <row r="76" spans="1:18">
      <c r="A76" t="s">
        <v>442</v>
      </c>
      <c r="B76" s="4" t="s">
        <v>1316</v>
      </c>
      <c r="C76" s="5" t="str">
        <f t="shared" si="1"/>
        <v>public_SRR14722169_metawrap_bin.2</v>
      </c>
      <c r="D76" t="s">
        <v>1088</v>
      </c>
      <c r="E76" t="s">
        <v>1089</v>
      </c>
      <c r="F76" t="s">
        <v>1090</v>
      </c>
      <c r="G76" t="s">
        <v>1125</v>
      </c>
      <c r="H76" t="s">
        <v>1015</v>
      </c>
      <c r="I76" t="s">
        <v>1001</v>
      </c>
      <c r="J76" s="5" t="s">
        <v>1134</v>
      </c>
      <c r="K76" t="s">
        <v>886</v>
      </c>
      <c r="L76" t="s">
        <v>940</v>
      </c>
      <c r="M76" t="s">
        <v>941</v>
      </c>
      <c r="N76" t="s">
        <v>1135</v>
      </c>
      <c r="O76" t="s">
        <v>885</v>
      </c>
      <c r="P76" t="s">
        <v>886</v>
      </c>
      <c r="Q76" t="s">
        <v>887</v>
      </c>
      <c r="R76" t="s">
        <v>888</v>
      </c>
    </row>
    <row r="77" spans="1:18">
      <c r="A77" t="s">
        <v>508</v>
      </c>
      <c r="B77" s="4" t="s">
        <v>1344</v>
      </c>
      <c r="C77" s="5" t="str">
        <f t="shared" si="1"/>
        <v>public_SRR14722301_metawrap_bin.5</v>
      </c>
      <c r="D77" t="s">
        <v>1088</v>
      </c>
      <c r="E77" t="s">
        <v>1089</v>
      </c>
      <c r="F77" t="s">
        <v>1090</v>
      </c>
      <c r="G77" t="s">
        <v>20</v>
      </c>
      <c r="H77" t="s">
        <v>1000</v>
      </c>
      <c r="I77" t="s">
        <v>1001</v>
      </c>
      <c r="J77" s="5" t="s">
        <v>1173</v>
      </c>
      <c r="K77" t="s">
        <v>886</v>
      </c>
      <c r="L77" t="s">
        <v>940</v>
      </c>
      <c r="M77" t="s">
        <v>941</v>
      </c>
      <c r="N77" t="s">
        <v>1174</v>
      </c>
      <c r="O77" t="s">
        <v>885</v>
      </c>
      <c r="P77" t="s">
        <v>886</v>
      </c>
      <c r="Q77" t="s">
        <v>887</v>
      </c>
      <c r="R77" t="s">
        <v>888</v>
      </c>
    </row>
    <row r="78" spans="1:18">
      <c r="A78" t="s">
        <v>429</v>
      </c>
      <c r="B78" s="4" t="s">
        <v>1310</v>
      </c>
      <c r="C78" s="5" t="str">
        <f t="shared" si="1"/>
        <v>public_SRR11456913_metawrap_bin.7</v>
      </c>
      <c r="D78" t="s">
        <v>1088</v>
      </c>
      <c r="E78" t="s">
        <v>1089</v>
      </c>
      <c r="F78" t="s">
        <v>1090</v>
      </c>
      <c r="G78" t="s">
        <v>1020</v>
      </c>
      <c r="H78" t="s">
        <v>1015</v>
      </c>
      <c r="I78" t="s">
        <v>1001</v>
      </c>
      <c r="J78" s="5" t="s">
        <v>1121</v>
      </c>
      <c r="K78" t="s">
        <v>886</v>
      </c>
      <c r="L78" t="s">
        <v>940</v>
      </c>
      <c r="M78" t="s">
        <v>941</v>
      </c>
      <c r="N78" t="s">
        <v>1122</v>
      </c>
      <c r="O78" t="s">
        <v>885</v>
      </c>
      <c r="P78" t="s">
        <v>886</v>
      </c>
      <c r="Q78" t="s">
        <v>887</v>
      </c>
      <c r="R78" t="s">
        <v>888</v>
      </c>
    </row>
    <row r="79" spans="1:18">
      <c r="A79" t="s">
        <v>444</v>
      </c>
      <c r="B79" s="4" t="s">
        <v>1317</v>
      </c>
      <c r="C79" s="5" t="str">
        <f t="shared" si="1"/>
        <v>private_T1887_metawrap_bin.8</v>
      </c>
      <c r="D79" t="s">
        <v>1088</v>
      </c>
      <c r="E79" t="s">
        <v>1089</v>
      </c>
      <c r="F79" t="s">
        <v>1090</v>
      </c>
      <c r="G79" t="s">
        <v>1125</v>
      </c>
      <c r="H79" t="s">
        <v>1015</v>
      </c>
      <c r="I79" t="s">
        <v>1001</v>
      </c>
      <c r="J79" s="5" t="s">
        <v>1136</v>
      </c>
      <c r="K79" t="s">
        <v>886</v>
      </c>
      <c r="L79" t="s">
        <v>940</v>
      </c>
      <c r="M79" t="s">
        <v>941</v>
      </c>
      <c r="N79" t="s">
        <v>1137</v>
      </c>
      <c r="O79" t="s">
        <v>885</v>
      </c>
      <c r="P79" t="s">
        <v>886</v>
      </c>
      <c r="Q79" t="s">
        <v>887</v>
      </c>
      <c r="R79" t="s">
        <v>888</v>
      </c>
    </row>
    <row r="80" spans="1:18">
      <c r="A80" t="s">
        <v>431</v>
      </c>
      <c r="B80" s="4" t="s">
        <v>1311</v>
      </c>
      <c r="C80" s="5" t="str">
        <f t="shared" si="1"/>
        <v>private_T1887_metawrap_bin.13</v>
      </c>
      <c r="D80" t="s">
        <v>1088</v>
      </c>
      <c r="E80" t="s">
        <v>1089</v>
      </c>
      <c r="F80" t="s">
        <v>1090</v>
      </c>
      <c r="G80" t="s">
        <v>1020</v>
      </c>
      <c r="H80" t="s">
        <v>1015</v>
      </c>
      <c r="I80" t="s">
        <v>1001</v>
      </c>
      <c r="J80" s="5" t="s">
        <v>1123</v>
      </c>
      <c r="K80" t="s">
        <v>886</v>
      </c>
      <c r="L80" t="s">
        <v>940</v>
      </c>
      <c r="M80" t="s">
        <v>941</v>
      </c>
      <c r="N80" t="s">
        <v>1124</v>
      </c>
      <c r="O80" t="s">
        <v>885</v>
      </c>
      <c r="P80" t="s">
        <v>886</v>
      </c>
      <c r="Q80" t="s">
        <v>887</v>
      </c>
      <c r="R80" t="s">
        <v>888</v>
      </c>
    </row>
    <row r="81" spans="1:18">
      <c r="A81" t="s">
        <v>396</v>
      </c>
      <c r="B81" s="4" t="s">
        <v>1298</v>
      </c>
      <c r="C81" s="5" t="str">
        <f t="shared" si="1"/>
        <v>public_SRR11456913_metawrap_bin.5</v>
      </c>
      <c r="D81" t="s">
        <v>1088</v>
      </c>
      <c r="E81" t="s">
        <v>1089</v>
      </c>
      <c r="F81" t="s">
        <v>1090</v>
      </c>
      <c r="G81" t="s">
        <v>1014</v>
      </c>
      <c r="H81" t="s">
        <v>1015</v>
      </c>
      <c r="I81" t="s">
        <v>1001</v>
      </c>
      <c r="J81" s="5" t="s">
        <v>397</v>
      </c>
      <c r="K81" t="s">
        <v>886</v>
      </c>
      <c r="L81" t="s">
        <v>940</v>
      </c>
      <c r="M81" t="s">
        <v>941</v>
      </c>
      <c r="N81" t="s">
        <v>1112</v>
      </c>
      <c r="O81" t="s">
        <v>885</v>
      </c>
      <c r="P81" t="s">
        <v>886</v>
      </c>
      <c r="Q81" t="s">
        <v>887</v>
      </c>
      <c r="R81" t="s">
        <v>888</v>
      </c>
    </row>
    <row r="82" spans="1:18">
      <c r="A82" t="s">
        <v>360</v>
      </c>
      <c r="B82" s="4" t="s">
        <v>1286</v>
      </c>
      <c r="C82" s="5" t="str">
        <f t="shared" si="1"/>
        <v>public_SRR14722130_metawrap_bin.2</v>
      </c>
      <c r="D82" t="s">
        <v>1088</v>
      </c>
      <c r="E82" t="s">
        <v>1089</v>
      </c>
      <c r="F82" t="s">
        <v>1090</v>
      </c>
      <c r="G82" t="s">
        <v>1014</v>
      </c>
      <c r="H82" t="s">
        <v>1015</v>
      </c>
      <c r="I82" t="s">
        <v>1001</v>
      </c>
      <c r="J82" s="5" t="s">
        <v>361</v>
      </c>
      <c r="K82" t="s">
        <v>886</v>
      </c>
      <c r="L82" t="s">
        <v>940</v>
      </c>
      <c r="M82" t="s">
        <v>941</v>
      </c>
      <c r="N82" t="s">
        <v>1101</v>
      </c>
      <c r="O82" t="s">
        <v>885</v>
      </c>
      <c r="P82" t="s">
        <v>886</v>
      </c>
      <c r="Q82" t="s">
        <v>887</v>
      </c>
      <c r="R82" t="s">
        <v>888</v>
      </c>
    </row>
    <row r="83" spans="1:18">
      <c r="A83" t="s">
        <v>331</v>
      </c>
      <c r="B83" s="4" t="s">
        <v>1277</v>
      </c>
      <c r="C83" s="4" t="str">
        <f t="shared" ref="C83:C88" si="2">I83</f>
        <v>SMAG_U5832</v>
      </c>
      <c r="D83" t="s">
        <v>1088</v>
      </c>
      <c r="E83" t="s">
        <v>1089</v>
      </c>
      <c r="F83" t="s">
        <v>1014</v>
      </c>
      <c r="G83" t="s">
        <v>1015</v>
      </c>
      <c r="H83" t="s">
        <v>1001</v>
      </c>
      <c r="I83" s="4" t="s">
        <v>333</v>
      </c>
      <c r="J83" t="s">
        <v>1092</v>
      </c>
      <c r="K83" t="s">
        <v>885</v>
      </c>
      <c r="L83" t="s">
        <v>886</v>
      </c>
      <c r="M83" t="s">
        <v>887</v>
      </c>
      <c r="N83" t="s">
        <v>888</v>
      </c>
    </row>
    <row r="84" spans="1:18">
      <c r="A84" t="s">
        <v>484</v>
      </c>
      <c r="B84" s="4" t="s">
        <v>1332</v>
      </c>
      <c r="C84" s="5" t="str">
        <f t="shared" si="2"/>
        <v>private_VT26_metawrap_bin.1</v>
      </c>
      <c r="D84" t="s">
        <v>998</v>
      </c>
      <c r="E84" t="s">
        <v>1090</v>
      </c>
      <c r="F84" t="s">
        <v>20</v>
      </c>
      <c r="G84" t="s">
        <v>1000</v>
      </c>
      <c r="H84" t="s">
        <v>1001</v>
      </c>
      <c r="I84" s="5" t="s">
        <v>1149</v>
      </c>
      <c r="J84" t="s">
        <v>886</v>
      </c>
      <c r="K84" t="s">
        <v>940</v>
      </c>
      <c r="L84" t="s">
        <v>941</v>
      </c>
      <c r="M84" t="s">
        <v>1150</v>
      </c>
      <c r="N84" t="s">
        <v>885</v>
      </c>
      <c r="O84" t="s">
        <v>886</v>
      </c>
      <c r="P84" t="s">
        <v>887</v>
      </c>
      <c r="Q84" t="s">
        <v>888</v>
      </c>
    </row>
    <row r="85" spans="1:18">
      <c r="A85" t="s">
        <v>486</v>
      </c>
      <c r="B85" s="4" t="s">
        <v>1333</v>
      </c>
      <c r="C85" s="5" t="str">
        <f t="shared" si="2"/>
        <v>private_VT2_metawrap_bin.4</v>
      </c>
      <c r="D85" t="s">
        <v>998</v>
      </c>
      <c r="E85" t="s">
        <v>1090</v>
      </c>
      <c r="F85" t="s">
        <v>20</v>
      </c>
      <c r="G85" t="s">
        <v>1000</v>
      </c>
      <c r="H85" t="s">
        <v>1001</v>
      </c>
      <c r="I85" s="5" t="s">
        <v>1151</v>
      </c>
      <c r="J85" t="s">
        <v>886</v>
      </c>
      <c r="K85" t="s">
        <v>940</v>
      </c>
      <c r="L85" t="s">
        <v>941</v>
      </c>
      <c r="M85" t="s">
        <v>1152</v>
      </c>
      <c r="N85" t="s">
        <v>885</v>
      </c>
      <c r="O85" t="s">
        <v>886</v>
      </c>
      <c r="P85" t="s">
        <v>887</v>
      </c>
      <c r="Q85" t="s">
        <v>888</v>
      </c>
    </row>
    <row r="86" spans="1:18">
      <c r="A86" t="s">
        <v>339</v>
      </c>
      <c r="B86" s="4" t="s">
        <v>1279</v>
      </c>
      <c r="C86" s="5" t="str">
        <f t="shared" si="2"/>
        <v>private_X16_metawrap_bin.2</v>
      </c>
      <c r="D86" t="s">
        <v>998</v>
      </c>
      <c r="E86" t="s">
        <v>1090</v>
      </c>
      <c r="F86" t="s">
        <v>1014</v>
      </c>
      <c r="G86" t="s">
        <v>1015</v>
      </c>
      <c r="H86" t="s">
        <v>1001</v>
      </c>
      <c r="I86" s="5" t="s">
        <v>340</v>
      </c>
      <c r="J86" t="s">
        <v>886</v>
      </c>
      <c r="K86" t="s">
        <v>940</v>
      </c>
      <c r="L86" t="s">
        <v>941</v>
      </c>
      <c r="M86" t="s">
        <v>1094</v>
      </c>
      <c r="N86" t="s">
        <v>885</v>
      </c>
      <c r="O86" t="s">
        <v>886</v>
      </c>
      <c r="P86" t="s">
        <v>887</v>
      </c>
      <c r="Q86" t="s">
        <v>888</v>
      </c>
    </row>
    <row r="87" spans="1:18">
      <c r="A87" t="s">
        <v>467</v>
      </c>
      <c r="B87" s="4" t="s">
        <v>1326</v>
      </c>
      <c r="C87" s="5" t="str">
        <f t="shared" si="2"/>
        <v>Green_K.bin.3</v>
      </c>
      <c r="D87" t="s">
        <v>998</v>
      </c>
      <c r="E87" t="s">
        <v>1090</v>
      </c>
      <c r="F87" t="s">
        <v>1146</v>
      </c>
      <c r="G87" t="s">
        <v>1000</v>
      </c>
      <c r="H87" t="s">
        <v>1001</v>
      </c>
      <c r="I87" s="5" t="s">
        <v>1147</v>
      </c>
      <c r="J87" t="s">
        <v>886</v>
      </c>
      <c r="K87" t="s">
        <v>940</v>
      </c>
      <c r="L87" t="s">
        <v>941</v>
      </c>
      <c r="M87" t="s">
        <v>1148</v>
      </c>
      <c r="N87" t="s">
        <v>885</v>
      </c>
      <c r="O87" t="s">
        <v>886</v>
      </c>
      <c r="P87" t="s">
        <v>887</v>
      </c>
      <c r="Q87" t="s">
        <v>888</v>
      </c>
    </row>
    <row r="88" spans="1:18">
      <c r="A88" t="s">
        <v>372</v>
      </c>
      <c r="B88" s="4" t="s">
        <v>1290</v>
      </c>
      <c r="C88" s="5" t="str">
        <f t="shared" si="2"/>
        <v>Green_AP.bin.13</v>
      </c>
      <c r="D88" t="s">
        <v>998</v>
      </c>
      <c r="E88" t="s">
        <v>1090</v>
      </c>
      <c r="F88" t="s">
        <v>1102</v>
      </c>
      <c r="G88" t="s">
        <v>1015</v>
      </c>
      <c r="H88" t="s">
        <v>1001</v>
      </c>
      <c r="I88" s="5" t="s">
        <v>1103</v>
      </c>
      <c r="J88" t="s">
        <v>886</v>
      </c>
      <c r="K88" t="s">
        <v>940</v>
      </c>
      <c r="L88" t="s">
        <v>941</v>
      </c>
      <c r="M88" t="s">
        <v>1104</v>
      </c>
      <c r="N88" t="s">
        <v>885</v>
      </c>
      <c r="O88" t="s">
        <v>886</v>
      </c>
      <c r="P88" t="s">
        <v>887</v>
      </c>
      <c r="Q88" t="s">
        <v>888</v>
      </c>
    </row>
    <row r="89" spans="1:18">
      <c r="A89" t="s">
        <v>446</v>
      </c>
      <c r="B89" s="4" t="s">
        <v>1318</v>
      </c>
      <c r="C89" s="5" t="str">
        <f>H89</f>
        <v>Green_R.bin.1</v>
      </c>
      <c r="D89" t="s">
        <v>998</v>
      </c>
      <c r="E89" t="s">
        <v>1138</v>
      </c>
      <c r="F89" t="s">
        <v>1000</v>
      </c>
      <c r="G89" t="s">
        <v>1001</v>
      </c>
      <c r="H89" s="5" t="s">
        <v>1139</v>
      </c>
      <c r="I89" t="s">
        <v>886</v>
      </c>
      <c r="J89" t="s">
        <v>940</v>
      </c>
      <c r="K89" t="s">
        <v>941</v>
      </c>
      <c r="L89" t="s">
        <v>1140</v>
      </c>
      <c r="M89" t="s">
        <v>885</v>
      </c>
      <c r="N89" t="s">
        <v>886</v>
      </c>
      <c r="O89" t="s">
        <v>887</v>
      </c>
      <c r="P89" t="s">
        <v>888</v>
      </c>
    </row>
    <row r="90" spans="1:18">
      <c r="A90" t="s">
        <v>448</v>
      </c>
      <c r="B90" s="4" t="s">
        <v>1319</v>
      </c>
      <c r="C90" s="5" t="str">
        <f>H90</f>
        <v>Green_AP.bin.3</v>
      </c>
      <c r="D90" t="s">
        <v>998</v>
      </c>
      <c r="E90" t="s">
        <v>20</v>
      </c>
      <c r="F90" t="s">
        <v>1000</v>
      </c>
      <c r="G90" t="s">
        <v>1001</v>
      </c>
      <c r="H90" s="5" t="s">
        <v>1141</v>
      </c>
      <c r="I90" t="s">
        <v>886</v>
      </c>
      <c r="J90" t="s">
        <v>940</v>
      </c>
      <c r="K90" t="s">
        <v>941</v>
      </c>
      <c r="L90" t="s">
        <v>1142</v>
      </c>
      <c r="M90" t="s">
        <v>885</v>
      </c>
      <c r="N90" t="s">
        <v>886</v>
      </c>
      <c r="O90" t="s">
        <v>887</v>
      </c>
      <c r="P90" t="s">
        <v>888</v>
      </c>
    </row>
    <row r="91" spans="1:18">
      <c r="A91" t="s">
        <v>450</v>
      </c>
      <c r="B91" s="4" t="s">
        <v>1320</v>
      </c>
      <c r="C91" s="5" t="str">
        <f>I91</f>
        <v>Green_AP.bin.4</v>
      </c>
      <c r="D91" t="s">
        <v>998</v>
      </c>
      <c r="E91" t="s">
        <v>1090</v>
      </c>
      <c r="F91" t="s">
        <v>1143</v>
      </c>
      <c r="G91" t="s">
        <v>1015</v>
      </c>
      <c r="H91" t="s">
        <v>1001</v>
      </c>
      <c r="I91" s="5" t="s">
        <v>1144</v>
      </c>
      <c r="J91" t="s">
        <v>886</v>
      </c>
      <c r="K91" t="s">
        <v>940</v>
      </c>
      <c r="L91" t="s">
        <v>941</v>
      </c>
      <c r="M91" t="s">
        <v>1145</v>
      </c>
      <c r="N91" t="s">
        <v>885</v>
      </c>
      <c r="O91" t="s">
        <v>886</v>
      </c>
      <c r="P91" t="s">
        <v>887</v>
      </c>
      <c r="Q91" t="s">
        <v>888</v>
      </c>
    </row>
    <row r="92" spans="1:18">
      <c r="A92" t="s">
        <v>127</v>
      </c>
      <c r="B92" s="4" t="s">
        <v>1215</v>
      </c>
      <c r="C92" s="5" t="str">
        <f>H92</f>
        <v>BP5.bin57</v>
      </c>
      <c r="D92" t="s">
        <v>998</v>
      </c>
      <c r="E92" t="s">
        <v>999</v>
      </c>
      <c r="F92" t="s">
        <v>1000</v>
      </c>
      <c r="G92" t="s">
        <v>1001</v>
      </c>
      <c r="H92" s="5" t="s">
        <v>1002</v>
      </c>
      <c r="I92" t="s">
        <v>1003</v>
      </c>
      <c r="J92" t="s">
        <v>885</v>
      </c>
      <c r="K92" t="s">
        <v>886</v>
      </c>
      <c r="L92" t="s">
        <v>887</v>
      </c>
      <c r="M92" t="s">
        <v>888</v>
      </c>
    </row>
    <row r="93" spans="1:18">
      <c r="A93" t="s">
        <v>335</v>
      </c>
      <c r="B93" s="4" t="s">
        <v>1278</v>
      </c>
      <c r="C93" s="4" t="s">
        <v>1347</v>
      </c>
      <c r="D93" t="s">
        <v>998</v>
      </c>
      <c r="E93" t="s">
        <v>1004</v>
      </c>
      <c r="F93" t="s">
        <v>1015</v>
      </c>
      <c r="G93" t="s">
        <v>1001</v>
      </c>
      <c r="H93" t="s">
        <v>336</v>
      </c>
      <c r="I93" t="s">
        <v>1093</v>
      </c>
      <c r="J93" t="s">
        <v>885</v>
      </c>
      <c r="K93" t="s">
        <v>886</v>
      </c>
      <c r="L93" t="s">
        <v>887</v>
      </c>
      <c r="M93" t="s">
        <v>888</v>
      </c>
    </row>
    <row r="94" spans="1:18">
      <c r="A94" t="s">
        <v>26</v>
      </c>
      <c r="B94" s="4" t="s">
        <v>1182</v>
      </c>
      <c r="C94" s="4" t="str">
        <f>CONCATENATE(G94," ",H94)</f>
        <v xml:space="preserve">B2 </v>
      </c>
      <c r="D94" t="s">
        <v>905</v>
      </c>
      <c r="E94" t="s">
        <v>906</v>
      </c>
      <c r="G94" s="4" t="s">
        <v>907</v>
      </c>
      <c r="H94" s="4"/>
      <c r="I94" t="s">
        <v>908</v>
      </c>
      <c r="J94" t="s">
        <v>885</v>
      </c>
      <c r="K94" t="s">
        <v>886</v>
      </c>
      <c r="L94" t="s">
        <v>887</v>
      </c>
      <c r="M94" t="s">
        <v>888</v>
      </c>
    </row>
    <row r="95" spans="1:18">
      <c r="A95" t="s">
        <v>35</v>
      </c>
      <c r="B95" s="4" t="s">
        <v>1185</v>
      </c>
      <c r="C95" s="4" t="str">
        <f t="shared" ref="C95:C122" si="3">CONCATENATE(G95," ",H95)</f>
        <v xml:space="preserve">RX1 </v>
      </c>
      <c r="D95" t="s">
        <v>905</v>
      </c>
      <c r="E95" t="s">
        <v>913</v>
      </c>
      <c r="F95" t="s">
        <v>890</v>
      </c>
      <c r="G95" s="4" t="s">
        <v>914</v>
      </c>
      <c r="H95" s="4"/>
      <c r="I95" t="s">
        <v>915</v>
      </c>
      <c r="J95" t="s">
        <v>901</v>
      </c>
      <c r="K95" t="s">
        <v>886</v>
      </c>
    </row>
    <row r="96" spans="1:18">
      <c r="A96" t="s">
        <v>32</v>
      </c>
      <c r="B96" s="4" t="s">
        <v>1184</v>
      </c>
      <c r="C96" s="4" t="str">
        <f t="shared" si="3"/>
        <v xml:space="preserve">NE2 </v>
      </c>
      <c r="D96" t="s">
        <v>905</v>
      </c>
      <c r="E96" t="s">
        <v>912</v>
      </c>
      <c r="F96" t="s">
        <v>890</v>
      </c>
      <c r="G96" s="4" t="s">
        <v>1349</v>
      </c>
      <c r="H96" s="4"/>
      <c r="I96" t="s">
        <v>885</v>
      </c>
      <c r="J96" t="s">
        <v>886</v>
      </c>
      <c r="K96" t="s">
        <v>887</v>
      </c>
      <c r="L96" t="s">
        <v>888</v>
      </c>
    </row>
    <row r="97" spans="1:15">
      <c r="A97" t="s">
        <v>29</v>
      </c>
      <c r="B97" s="4" t="s">
        <v>1183</v>
      </c>
      <c r="C97" s="4" t="str">
        <f t="shared" si="3"/>
        <v xml:space="preserve">KYG </v>
      </c>
      <c r="D97" t="s">
        <v>905</v>
      </c>
      <c r="E97" t="s">
        <v>909</v>
      </c>
      <c r="F97" t="s">
        <v>890</v>
      </c>
      <c r="G97" s="4" t="s">
        <v>910</v>
      </c>
      <c r="H97" s="4"/>
      <c r="I97" s="6" t="s">
        <v>911</v>
      </c>
      <c r="J97" t="s">
        <v>885</v>
      </c>
      <c r="K97" t="s">
        <v>886</v>
      </c>
      <c r="L97" t="s">
        <v>887</v>
      </c>
      <c r="M97" t="s">
        <v>888</v>
      </c>
    </row>
    <row r="98" spans="1:15">
      <c r="A98" t="s">
        <v>38</v>
      </c>
      <c r="B98" s="4" t="s">
        <v>1186</v>
      </c>
      <c r="C98" s="4" t="str">
        <f t="shared" si="3"/>
        <v xml:space="preserve">BL2 </v>
      </c>
      <c r="D98" t="s">
        <v>916</v>
      </c>
      <c r="E98" t="s">
        <v>917</v>
      </c>
      <c r="G98" s="4" t="s">
        <v>1348</v>
      </c>
      <c r="H98" s="4"/>
      <c r="I98" t="s">
        <v>901</v>
      </c>
      <c r="J98" t="s">
        <v>888</v>
      </c>
    </row>
    <row r="99" spans="1:15">
      <c r="A99" t="s">
        <v>41</v>
      </c>
      <c r="B99" s="4" t="s">
        <v>1187</v>
      </c>
      <c r="C99" s="4" t="str">
        <f t="shared" si="3"/>
        <v xml:space="preserve">T4 </v>
      </c>
      <c r="D99" t="s">
        <v>916</v>
      </c>
      <c r="E99" t="s">
        <v>918</v>
      </c>
      <c r="F99" t="s">
        <v>890</v>
      </c>
      <c r="G99" s="4" t="s">
        <v>919</v>
      </c>
      <c r="H99" s="4"/>
      <c r="I99" t="s">
        <v>915</v>
      </c>
      <c r="J99" t="s">
        <v>901</v>
      </c>
      <c r="K99" t="s">
        <v>886</v>
      </c>
    </row>
    <row r="100" spans="1:15">
      <c r="A100" t="s">
        <v>267</v>
      </c>
      <c r="B100" s="4" t="s">
        <v>1257</v>
      </c>
      <c r="C100" s="4" t="str">
        <f t="shared" si="3"/>
        <v xml:space="preserve">SS37A-Re </v>
      </c>
      <c r="D100" t="s">
        <v>1028</v>
      </c>
      <c r="E100" t="s">
        <v>1041</v>
      </c>
      <c r="G100" s="4" t="s">
        <v>1042</v>
      </c>
      <c r="H100" s="4"/>
      <c r="I100" t="s">
        <v>883</v>
      </c>
      <c r="J100" t="s">
        <v>901</v>
      </c>
      <c r="K100" t="s">
        <v>886</v>
      </c>
    </row>
    <row r="101" spans="1:15">
      <c r="A101" t="s">
        <v>255</v>
      </c>
      <c r="B101" s="4" t="s">
        <v>1253</v>
      </c>
      <c r="C101" s="4" t="str">
        <f t="shared" si="3"/>
        <v xml:space="preserve">DSM21852 </v>
      </c>
      <c r="D101" t="s">
        <v>1028</v>
      </c>
      <c r="E101" t="s">
        <v>1031</v>
      </c>
      <c r="G101" s="4" t="s">
        <v>1032</v>
      </c>
      <c r="H101" s="4"/>
      <c r="I101" t="s">
        <v>883</v>
      </c>
      <c r="J101" t="s">
        <v>901</v>
      </c>
      <c r="K101" t="s">
        <v>886</v>
      </c>
    </row>
    <row r="102" spans="1:15">
      <c r="A102" t="s">
        <v>258</v>
      </c>
      <c r="B102" s="4" t="s">
        <v>1254</v>
      </c>
      <c r="C102" s="4" t="str">
        <f t="shared" si="3"/>
        <v xml:space="preserve">LMG27198 </v>
      </c>
      <c r="D102" t="s">
        <v>1028</v>
      </c>
      <c r="E102" t="s">
        <v>1033</v>
      </c>
      <c r="G102" s="4" t="s">
        <v>1034</v>
      </c>
      <c r="H102" s="4"/>
      <c r="I102" t="s">
        <v>883</v>
      </c>
      <c r="J102" t="s">
        <v>1035</v>
      </c>
      <c r="K102" t="s">
        <v>885</v>
      </c>
      <c r="L102" t="s">
        <v>886</v>
      </c>
      <c r="M102" t="s">
        <v>887</v>
      </c>
      <c r="N102" t="s">
        <v>888</v>
      </c>
    </row>
    <row r="103" spans="1:15">
      <c r="A103" t="s">
        <v>261</v>
      </c>
      <c r="B103" s="4" t="s">
        <v>1255</v>
      </c>
      <c r="C103" s="4" t="str">
        <f t="shared" si="3"/>
        <v xml:space="preserve">H2 </v>
      </c>
      <c r="D103" t="s">
        <v>1028</v>
      </c>
      <c r="E103" t="s">
        <v>1036</v>
      </c>
      <c r="F103" t="s">
        <v>890</v>
      </c>
      <c r="G103" s="4" t="s">
        <v>1037</v>
      </c>
      <c r="H103" s="4"/>
      <c r="I103" t="s">
        <v>915</v>
      </c>
      <c r="J103" t="s">
        <v>901</v>
      </c>
      <c r="K103" t="s">
        <v>886</v>
      </c>
    </row>
    <row r="104" spans="1:15">
      <c r="A104" t="s">
        <v>270</v>
      </c>
      <c r="B104" s="4" t="s">
        <v>1258</v>
      </c>
      <c r="C104" s="4" t="str">
        <f t="shared" si="3"/>
        <v xml:space="preserve">OBBP </v>
      </c>
      <c r="D104" t="s">
        <v>1028</v>
      </c>
      <c r="E104" t="s">
        <v>1043</v>
      </c>
      <c r="G104" s="4" t="s">
        <v>1044</v>
      </c>
      <c r="H104" s="4"/>
      <c r="I104" t="s">
        <v>915</v>
      </c>
      <c r="J104" t="s">
        <v>901</v>
      </c>
      <c r="K104" t="s">
        <v>886</v>
      </c>
    </row>
    <row r="105" spans="1:15">
      <c r="A105" t="s">
        <v>276</v>
      </c>
      <c r="B105" s="4" t="s">
        <v>1260</v>
      </c>
      <c r="C105" s="4" t="str">
        <f t="shared" si="3"/>
        <v xml:space="preserve">FS </v>
      </c>
      <c r="D105" t="s">
        <v>1028</v>
      </c>
      <c r="E105" t="s">
        <v>1050</v>
      </c>
      <c r="F105" t="s">
        <v>890</v>
      </c>
      <c r="G105" s="4" t="s">
        <v>1051</v>
      </c>
      <c r="H105" s="4"/>
      <c r="I105" t="s">
        <v>1052</v>
      </c>
      <c r="J105" t="s">
        <v>885</v>
      </c>
      <c r="K105" t="s">
        <v>886</v>
      </c>
      <c r="L105" t="s">
        <v>887</v>
      </c>
      <c r="M105" t="s">
        <v>888</v>
      </c>
    </row>
    <row r="106" spans="1:15">
      <c r="A106" t="s">
        <v>279</v>
      </c>
      <c r="B106" s="4" t="s">
        <v>1261</v>
      </c>
      <c r="C106" s="4" t="str">
        <f t="shared" si="3"/>
        <v xml:space="preserve">NLS-7 </v>
      </c>
      <c r="D106" t="s">
        <v>1028</v>
      </c>
      <c r="E106" t="s">
        <v>1053</v>
      </c>
      <c r="F106" t="s">
        <v>890</v>
      </c>
      <c r="G106" s="4" t="s">
        <v>1054</v>
      </c>
      <c r="H106" s="4"/>
      <c r="I106" t="s">
        <v>1055</v>
      </c>
      <c r="J106" t="s">
        <v>885</v>
      </c>
      <c r="K106" t="s">
        <v>886</v>
      </c>
      <c r="L106" t="s">
        <v>887</v>
      </c>
      <c r="M106" t="s">
        <v>888</v>
      </c>
    </row>
    <row r="107" spans="1:15">
      <c r="A107" t="s">
        <v>251</v>
      </c>
      <c r="B107" s="4" t="s">
        <v>1252</v>
      </c>
      <c r="C107" s="4" t="str">
        <f t="shared" si="3"/>
        <v xml:space="preserve">9N </v>
      </c>
      <c r="D107" t="s">
        <v>1028</v>
      </c>
      <c r="E107" t="s">
        <v>1015</v>
      </c>
      <c r="G107" s="4" t="s">
        <v>1029</v>
      </c>
      <c r="H107" s="4"/>
      <c r="I107" t="s">
        <v>1030</v>
      </c>
      <c r="J107" t="s">
        <v>885</v>
      </c>
      <c r="K107" t="s">
        <v>886</v>
      </c>
      <c r="L107" t="s">
        <v>887</v>
      </c>
      <c r="M107" t="s">
        <v>888</v>
      </c>
    </row>
    <row r="108" spans="1:15">
      <c r="A108" t="s">
        <v>273</v>
      </c>
      <c r="B108" s="4" t="s">
        <v>1259</v>
      </c>
      <c r="C108" s="4" t="str">
        <f t="shared" si="3"/>
        <v xml:space="preserve">SV97 </v>
      </c>
      <c r="D108" t="s">
        <v>1028</v>
      </c>
      <c r="E108" t="s">
        <v>1045</v>
      </c>
      <c r="G108" s="4" t="s">
        <v>1046</v>
      </c>
      <c r="H108" s="4"/>
      <c r="I108" t="s">
        <v>1047</v>
      </c>
      <c r="J108" t="s">
        <v>1048</v>
      </c>
      <c r="K108" t="s">
        <v>1049</v>
      </c>
      <c r="L108" t="s">
        <v>885</v>
      </c>
      <c r="M108" t="s">
        <v>886</v>
      </c>
      <c r="N108" t="s">
        <v>887</v>
      </c>
      <c r="O108" t="s">
        <v>888</v>
      </c>
    </row>
    <row r="109" spans="1:15">
      <c r="A109" t="s">
        <v>264</v>
      </c>
      <c r="B109" s="4" t="s">
        <v>1256</v>
      </c>
      <c r="C109" s="4" t="str">
        <f t="shared" si="3"/>
        <v xml:space="preserve">CSC1 </v>
      </c>
      <c r="D109" t="s">
        <v>1028</v>
      </c>
      <c r="E109" t="s">
        <v>1038</v>
      </c>
      <c r="F109" t="s">
        <v>890</v>
      </c>
      <c r="G109" s="4" t="s">
        <v>1039</v>
      </c>
      <c r="H109" s="4"/>
      <c r="I109" t="s">
        <v>1040</v>
      </c>
      <c r="J109" t="s">
        <v>885</v>
      </c>
      <c r="K109" t="s">
        <v>886</v>
      </c>
      <c r="L109" t="s">
        <v>887</v>
      </c>
      <c r="M109" t="s">
        <v>888</v>
      </c>
    </row>
    <row r="110" spans="1:15">
      <c r="A110" t="s">
        <v>44</v>
      </c>
      <c r="B110" s="4" t="s">
        <v>1188</v>
      </c>
      <c r="C110" s="4" t="str">
        <f t="shared" si="3"/>
        <v xml:space="preserve">AR4 </v>
      </c>
      <c r="D110" t="s">
        <v>920</v>
      </c>
      <c r="E110" t="s">
        <v>921</v>
      </c>
      <c r="G110" s="4" t="s">
        <v>922</v>
      </c>
      <c r="H110" s="4"/>
      <c r="I110" t="s">
        <v>890</v>
      </c>
      <c r="J110" t="s">
        <v>923</v>
      </c>
      <c r="K110" t="s">
        <v>924</v>
      </c>
      <c r="L110" t="s">
        <v>885</v>
      </c>
      <c r="M110" t="s">
        <v>886</v>
      </c>
      <c r="N110" t="s">
        <v>887</v>
      </c>
      <c r="O110" t="s">
        <v>888</v>
      </c>
    </row>
    <row r="111" spans="1:15">
      <c r="A111" t="s">
        <v>285</v>
      </c>
      <c r="B111" s="4" t="s">
        <v>1263</v>
      </c>
      <c r="C111" s="4" t="str">
        <f t="shared" si="3"/>
        <v xml:space="preserve">OB3b </v>
      </c>
      <c r="D111" t="s">
        <v>1056</v>
      </c>
      <c r="E111" t="s">
        <v>1059</v>
      </c>
      <c r="G111" s="4" t="s">
        <v>1060</v>
      </c>
      <c r="H111" s="4"/>
      <c r="I111" t="s">
        <v>1061</v>
      </c>
      <c r="J111" t="s">
        <v>885</v>
      </c>
      <c r="K111" t="s">
        <v>886</v>
      </c>
      <c r="L111" t="s">
        <v>887</v>
      </c>
      <c r="M111" t="s">
        <v>888</v>
      </c>
    </row>
    <row r="112" spans="1:15">
      <c r="A112" t="s">
        <v>282</v>
      </c>
      <c r="B112" s="4" t="s">
        <v>1262</v>
      </c>
      <c r="C112" s="4" t="str">
        <f t="shared" si="3"/>
        <v>DSM 17706</v>
      </c>
      <c r="D112" t="s">
        <v>1056</v>
      </c>
      <c r="E112" t="s">
        <v>1057</v>
      </c>
      <c r="F112" t="s">
        <v>890</v>
      </c>
      <c r="G112" s="4" t="s">
        <v>939</v>
      </c>
      <c r="H112" s="4">
        <v>17706</v>
      </c>
      <c r="I112" t="s">
        <v>1058</v>
      </c>
      <c r="J112" t="s">
        <v>885</v>
      </c>
      <c r="K112" t="s">
        <v>886</v>
      </c>
      <c r="L112" t="s">
        <v>887</v>
      </c>
      <c r="M112" t="s">
        <v>888</v>
      </c>
    </row>
    <row r="113" spans="1:13">
      <c r="A113" t="s">
        <v>47</v>
      </c>
      <c r="B113" s="4" t="s">
        <v>1189</v>
      </c>
      <c r="C113" s="4" t="str">
        <f t="shared" si="3"/>
        <v xml:space="preserve">BW863 </v>
      </c>
      <c r="D113" t="s">
        <v>925</v>
      </c>
      <c r="E113" t="s">
        <v>926</v>
      </c>
      <c r="F113" t="s">
        <v>890</v>
      </c>
      <c r="G113" s="4" t="s">
        <v>927</v>
      </c>
      <c r="H113" s="4"/>
      <c r="I113" t="s">
        <v>915</v>
      </c>
      <c r="J113" t="s">
        <v>901</v>
      </c>
      <c r="K113" t="s">
        <v>886</v>
      </c>
    </row>
    <row r="114" spans="1:13">
      <c r="A114" t="s">
        <v>121</v>
      </c>
      <c r="B114" s="4" t="s">
        <v>1213</v>
      </c>
      <c r="C114" s="4" t="str">
        <f t="shared" si="3"/>
        <v>DSM 28760</v>
      </c>
      <c r="D114" t="s">
        <v>993</v>
      </c>
      <c r="E114" t="s">
        <v>994</v>
      </c>
      <c r="F114" t="s">
        <v>890</v>
      </c>
      <c r="G114" s="4" t="s">
        <v>939</v>
      </c>
      <c r="H114" s="4">
        <v>28760</v>
      </c>
      <c r="I114" t="s">
        <v>995</v>
      </c>
      <c r="J114" t="s">
        <v>885</v>
      </c>
      <c r="K114" t="s">
        <v>886</v>
      </c>
      <c r="L114" t="s">
        <v>887</v>
      </c>
      <c r="M114" t="s">
        <v>888</v>
      </c>
    </row>
    <row r="115" spans="1:13">
      <c r="A115" t="s">
        <v>124</v>
      </c>
      <c r="B115" s="4" t="s">
        <v>1214</v>
      </c>
      <c r="C115" s="4" t="str">
        <f t="shared" si="3"/>
        <v>CCM 8528</v>
      </c>
      <c r="D115" t="s">
        <v>993</v>
      </c>
      <c r="E115" t="s">
        <v>996</v>
      </c>
      <c r="F115" t="s">
        <v>890</v>
      </c>
      <c r="G115" s="4" t="s">
        <v>971</v>
      </c>
      <c r="H115" s="4">
        <v>8528</v>
      </c>
      <c r="I115" t="s">
        <v>997</v>
      </c>
      <c r="J115" t="s">
        <v>885</v>
      </c>
      <c r="K115" t="s">
        <v>886</v>
      </c>
      <c r="L115" t="s">
        <v>887</v>
      </c>
      <c r="M115" t="s">
        <v>888</v>
      </c>
    </row>
    <row r="116" spans="1:13">
      <c r="A116" t="s">
        <v>293</v>
      </c>
      <c r="B116" s="4" t="s">
        <v>1266</v>
      </c>
      <c r="C116" s="4" t="str">
        <f t="shared" si="3"/>
        <v>SYSU G02060</v>
      </c>
      <c r="D116" t="s">
        <v>1068</v>
      </c>
      <c r="E116" t="s">
        <v>1069</v>
      </c>
      <c r="F116" t="s">
        <v>890</v>
      </c>
      <c r="G116" s="4" t="s">
        <v>891</v>
      </c>
      <c r="H116" s="4" t="s">
        <v>1070</v>
      </c>
      <c r="I116" t="s">
        <v>1071</v>
      </c>
      <c r="J116" t="s">
        <v>885</v>
      </c>
      <c r="K116" t="s">
        <v>886</v>
      </c>
      <c r="L116" t="s">
        <v>887</v>
      </c>
      <c r="M116" t="s">
        <v>888</v>
      </c>
    </row>
    <row r="117" spans="1:13">
      <c r="A117" t="s">
        <v>297</v>
      </c>
      <c r="B117" s="4" t="s">
        <v>1267</v>
      </c>
      <c r="C117" s="4" t="str">
        <f t="shared" si="3"/>
        <v>DSM 137</v>
      </c>
      <c r="D117" t="s">
        <v>1072</v>
      </c>
      <c r="E117" t="s">
        <v>1073</v>
      </c>
      <c r="F117" t="s">
        <v>890</v>
      </c>
      <c r="G117" s="4" t="s">
        <v>939</v>
      </c>
      <c r="H117" s="4">
        <v>137</v>
      </c>
      <c r="I117" t="s">
        <v>885</v>
      </c>
      <c r="J117" t="s">
        <v>886</v>
      </c>
      <c r="K117" t="s">
        <v>887</v>
      </c>
      <c r="L117" t="s">
        <v>888</v>
      </c>
    </row>
    <row r="118" spans="1:13">
      <c r="A118" t="s">
        <v>304</v>
      </c>
      <c r="B118" s="4" t="s">
        <v>1269</v>
      </c>
      <c r="C118" s="4" t="str">
        <f t="shared" si="3"/>
        <v>DSM 16996</v>
      </c>
      <c r="D118" t="s">
        <v>1072</v>
      </c>
      <c r="E118" t="s">
        <v>1078</v>
      </c>
      <c r="F118" t="s">
        <v>890</v>
      </c>
      <c r="G118" s="4" t="s">
        <v>939</v>
      </c>
      <c r="H118" s="4">
        <v>16996</v>
      </c>
      <c r="I118" t="s">
        <v>1079</v>
      </c>
      <c r="J118" t="s">
        <v>885</v>
      </c>
      <c r="K118" t="s">
        <v>886</v>
      </c>
      <c r="L118" t="s">
        <v>887</v>
      </c>
      <c r="M118" t="s">
        <v>888</v>
      </c>
    </row>
    <row r="119" spans="1:13">
      <c r="A119" t="s">
        <v>307</v>
      </c>
      <c r="B119" s="4" t="s">
        <v>1270</v>
      </c>
      <c r="C119" s="4" t="str">
        <f t="shared" si="3"/>
        <v>DSM 24875</v>
      </c>
      <c r="D119" t="s">
        <v>1080</v>
      </c>
      <c r="E119" t="s">
        <v>1081</v>
      </c>
      <c r="F119" t="s">
        <v>890</v>
      </c>
      <c r="G119" s="4" t="s">
        <v>939</v>
      </c>
      <c r="H119" s="4">
        <v>24875</v>
      </c>
      <c r="I119" t="s">
        <v>1082</v>
      </c>
      <c r="J119" t="s">
        <v>885</v>
      </c>
      <c r="K119" t="s">
        <v>886</v>
      </c>
      <c r="L119" t="s">
        <v>887</v>
      </c>
      <c r="M119" t="s">
        <v>888</v>
      </c>
    </row>
    <row r="120" spans="1:13">
      <c r="A120" t="s">
        <v>315</v>
      </c>
      <c r="B120" s="4" t="s">
        <v>1272</v>
      </c>
      <c r="C120" s="4" t="str">
        <f t="shared" si="3"/>
        <v>DSM 21201</v>
      </c>
      <c r="D120" t="s">
        <v>1083</v>
      </c>
      <c r="E120" t="s">
        <v>1045</v>
      </c>
      <c r="G120" s="4" t="s">
        <v>939</v>
      </c>
      <c r="H120" s="4">
        <v>21201</v>
      </c>
      <c r="I120" t="s">
        <v>1086</v>
      </c>
      <c r="J120" t="s">
        <v>885</v>
      </c>
      <c r="K120" t="s">
        <v>886</v>
      </c>
      <c r="L120" t="s">
        <v>887</v>
      </c>
      <c r="M120" t="s">
        <v>888</v>
      </c>
    </row>
    <row r="121" spans="1:13">
      <c r="A121" t="s">
        <v>312</v>
      </c>
      <c r="B121" s="4" t="s">
        <v>1271</v>
      </c>
      <c r="C121" s="4" t="str">
        <f t="shared" si="3"/>
        <v>CGMCC 1.9161</v>
      </c>
      <c r="D121" t="s">
        <v>1083</v>
      </c>
      <c r="E121" t="s">
        <v>1084</v>
      </c>
      <c r="F121" t="s">
        <v>890</v>
      </c>
      <c r="G121" s="4" t="s">
        <v>881</v>
      </c>
      <c r="H121" s="4" t="s">
        <v>1085</v>
      </c>
      <c r="I121" t="s">
        <v>990</v>
      </c>
      <c r="J121" t="s">
        <v>885</v>
      </c>
      <c r="K121" t="s">
        <v>886</v>
      </c>
      <c r="L121" t="s">
        <v>887</v>
      </c>
      <c r="M121" t="s">
        <v>888</v>
      </c>
    </row>
    <row r="122" spans="1:13">
      <c r="A122" t="s">
        <v>318</v>
      </c>
      <c r="B122" s="4" t="s">
        <v>1273</v>
      </c>
      <c r="C122" s="4" t="str">
        <f t="shared" si="3"/>
        <v xml:space="preserve">BN140002 </v>
      </c>
      <c r="D122" t="s">
        <v>1083</v>
      </c>
      <c r="E122" t="s">
        <v>894</v>
      </c>
      <c r="F122" t="s">
        <v>890</v>
      </c>
      <c r="G122" s="4" t="s">
        <v>1087</v>
      </c>
      <c r="H122" s="4"/>
      <c r="I122" t="s">
        <v>977</v>
      </c>
      <c r="J122" t="s">
        <v>885</v>
      </c>
      <c r="K122" t="s">
        <v>886</v>
      </c>
      <c r="L122" t="s">
        <v>887</v>
      </c>
      <c r="M122" t="s">
        <v>888</v>
      </c>
    </row>
    <row r="123" spans="1:13">
      <c r="A123" t="s">
        <v>236</v>
      </c>
      <c r="B123" t="s">
        <v>1247</v>
      </c>
      <c r="C123" s="7" t="s">
        <v>1372</v>
      </c>
    </row>
    <row r="124" spans="1:13">
      <c r="A124" t="s">
        <v>215</v>
      </c>
      <c r="B124" s="4" t="s">
        <v>1240</v>
      </c>
      <c r="C124" s="4" t="s">
        <v>1350</v>
      </c>
    </row>
    <row r="125" spans="1:13">
      <c r="A125" t="s">
        <v>170</v>
      </c>
      <c r="B125" s="4" t="s">
        <v>1224</v>
      </c>
      <c r="C125" s="4" t="s">
        <v>1022</v>
      </c>
    </row>
    <row r="126" spans="1:13">
      <c r="A126" t="s">
        <v>176</v>
      </c>
      <c r="B126" s="4" t="s">
        <v>1227</v>
      </c>
      <c r="C126" s="4" t="s">
        <v>1351</v>
      </c>
    </row>
    <row r="127" spans="1:13">
      <c r="A127" t="s">
        <v>179</v>
      </c>
      <c r="B127" t="s">
        <v>1228</v>
      </c>
      <c r="C127" s="7" t="s">
        <v>1367</v>
      </c>
    </row>
    <row r="128" spans="1:13">
      <c r="A128" t="s">
        <v>191</v>
      </c>
      <c r="B128" t="s">
        <v>1232</v>
      </c>
      <c r="C128" s="7" t="s">
        <v>1368</v>
      </c>
    </row>
    <row r="129" spans="1:3">
      <c r="A129" t="s">
        <v>194</v>
      </c>
      <c r="B129" t="s">
        <v>1233</v>
      </c>
      <c r="C129" s="7" t="s">
        <v>1369</v>
      </c>
    </row>
    <row r="130" spans="1:3">
      <c r="A130" t="s">
        <v>197</v>
      </c>
      <c r="B130" t="s">
        <v>1234</v>
      </c>
      <c r="C130" s="7" t="s">
        <v>1370</v>
      </c>
    </row>
    <row r="131" spans="1:3">
      <c r="A131" t="s">
        <v>242</v>
      </c>
      <c r="B131" t="s">
        <v>1249</v>
      </c>
      <c r="C131" s="7" t="s">
        <v>1371</v>
      </c>
    </row>
    <row r="132" spans="1:3">
      <c r="A132" t="s">
        <v>233</v>
      </c>
      <c r="B132" s="4" t="s">
        <v>1246</v>
      </c>
      <c r="C132" s="4" t="s">
        <v>1352</v>
      </c>
    </row>
    <row r="133" spans="1:3">
      <c r="A133" t="s">
        <v>203</v>
      </c>
      <c r="B133" s="4" t="s">
        <v>1236</v>
      </c>
      <c r="C133" s="4" t="s">
        <v>1353</v>
      </c>
    </row>
    <row r="134" spans="1:3">
      <c r="A134" t="s">
        <v>206</v>
      </c>
      <c r="B134" t="s">
        <v>1237</v>
      </c>
      <c r="C134" s="7" t="s">
        <v>1374</v>
      </c>
    </row>
    <row r="135" spans="1:3">
      <c r="A135" t="s">
        <v>472</v>
      </c>
      <c r="B135" t="s">
        <v>1328</v>
      </c>
    </row>
    <row r="136" spans="1:3">
      <c r="A136" t="s">
        <v>405</v>
      </c>
      <c r="B136" t="s">
        <v>1301</v>
      </c>
    </row>
    <row r="137" spans="1:3">
      <c r="A137" t="s">
        <v>461</v>
      </c>
      <c r="B137" t="s">
        <v>1324</v>
      </c>
    </row>
    <row r="138" spans="1:3">
      <c r="A138" t="s">
        <v>455</v>
      </c>
      <c r="B138" t="s">
        <v>1322</v>
      </c>
    </row>
    <row r="139" spans="1:3">
      <c r="A139" t="s">
        <v>464</v>
      </c>
      <c r="B139" t="s">
        <v>1325</v>
      </c>
    </row>
    <row r="140" spans="1:3">
      <c r="A140" t="s">
        <v>326</v>
      </c>
      <c r="B140" t="s">
        <v>1275</v>
      </c>
    </row>
    <row r="141" spans="1:3">
      <c r="A141" t="s">
        <v>402</v>
      </c>
      <c r="B141" t="s">
        <v>1300</v>
      </c>
    </row>
    <row r="142" spans="1:3">
      <c r="A142" t="s">
        <v>478</v>
      </c>
      <c r="B142" t="s">
        <v>1330</v>
      </c>
    </row>
    <row r="143" spans="1:3">
      <c r="A143" t="s">
        <v>458</v>
      </c>
      <c r="B143" t="s">
        <v>1323</v>
      </c>
    </row>
    <row r="144" spans="1:3">
      <c r="A144" t="s">
        <v>363</v>
      </c>
      <c r="B144" t="s">
        <v>1287</v>
      </c>
    </row>
    <row r="145" spans="1:3">
      <c r="A145" t="s">
        <v>414</v>
      </c>
      <c r="B145" t="s">
        <v>1304</v>
      </c>
    </row>
    <row r="146" spans="1:3">
      <c r="A146" t="s">
        <v>321</v>
      </c>
      <c r="B146" t="s">
        <v>1274</v>
      </c>
    </row>
    <row r="147" spans="1:3">
      <c r="A147" t="s">
        <v>369</v>
      </c>
      <c r="B147" t="s">
        <v>1289</v>
      </c>
    </row>
    <row r="148" spans="1:3">
      <c r="A148" t="s">
        <v>417</v>
      </c>
      <c r="B148" t="s">
        <v>1305</v>
      </c>
    </row>
    <row r="149" spans="1:3">
      <c r="A149" t="s">
        <v>408</v>
      </c>
      <c r="B149" t="s">
        <v>1302</v>
      </c>
    </row>
    <row r="150" spans="1:3">
      <c r="A150" t="s">
        <v>366</v>
      </c>
      <c r="B150" t="s">
        <v>1288</v>
      </c>
    </row>
    <row r="151" spans="1:3">
      <c r="A151" t="s">
        <v>399</v>
      </c>
      <c r="B151" t="s">
        <v>1299</v>
      </c>
    </row>
    <row r="152" spans="1:3">
      <c r="A152" t="s">
        <v>411</v>
      </c>
      <c r="B152" t="s">
        <v>1303</v>
      </c>
    </row>
    <row r="153" spans="1:3">
      <c r="A153" t="s">
        <v>481</v>
      </c>
      <c r="B153" t="s">
        <v>1331</v>
      </c>
    </row>
    <row r="154" spans="1:3">
      <c r="A154" t="s">
        <v>475</v>
      </c>
      <c r="B154" t="s">
        <v>1329</v>
      </c>
    </row>
    <row r="155" spans="1:3">
      <c r="A155" t="s">
        <v>452</v>
      </c>
      <c r="B155" t="s">
        <v>1321</v>
      </c>
    </row>
    <row r="156" spans="1:3">
      <c r="A156" t="s">
        <v>469</v>
      </c>
      <c r="B156" t="s">
        <v>1327</v>
      </c>
    </row>
    <row r="157" spans="1:3">
      <c r="A157" t="s">
        <v>188</v>
      </c>
      <c r="B157" s="4" t="s">
        <v>1231</v>
      </c>
      <c r="C157" s="4" t="s">
        <v>1354</v>
      </c>
    </row>
    <row r="158" spans="1:3">
      <c r="A158" t="s">
        <v>245</v>
      </c>
      <c r="B158" s="4" t="s">
        <v>1250</v>
      </c>
      <c r="C158" s="4" t="s">
        <v>1355</v>
      </c>
    </row>
    <row r="159" spans="1:3">
      <c r="A159" t="s">
        <v>248</v>
      </c>
      <c r="B159" s="4" t="s">
        <v>1251</v>
      </c>
      <c r="C159" s="4" t="s">
        <v>1356</v>
      </c>
    </row>
    <row r="160" spans="1:3">
      <c r="A160" t="s">
        <v>185</v>
      </c>
      <c r="B160" s="4" t="s">
        <v>1230</v>
      </c>
      <c r="C160" s="4" t="s">
        <v>1357</v>
      </c>
    </row>
    <row r="161" spans="1:3">
      <c r="A161" t="s">
        <v>212</v>
      </c>
      <c r="B161" s="4" t="s">
        <v>1239</v>
      </c>
      <c r="C161" s="4" t="s">
        <v>1358</v>
      </c>
    </row>
    <row r="162" spans="1:3">
      <c r="A162" t="s">
        <v>230</v>
      </c>
      <c r="B162" s="4" t="s">
        <v>1245</v>
      </c>
      <c r="C162" s="4" t="s">
        <v>1359</v>
      </c>
    </row>
    <row r="163" spans="1:3">
      <c r="A163" t="s">
        <v>239</v>
      </c>
      <c r="B163" s="4" t="s">
        <v>1248</v>
      </c>
      <c r="C163" s="4" t="s">
        <v>1360</v>
      </c>
    </row>
    <row r="164" spans="1:3">
      <c r="A164" t="s">
        <v>224</v>
      </c>
      <c r="B164" s="4" t="s">
        <v>1243</v>
      </c>
      <c r="C164" s="4">
        <v>77</v>
      </c>
    </row>
    <row r="165" spans="1:3">
      <c r="A165" t="s">
        <v>221</v>
      </c>
      <c r="B165" s="4" t="s">
        <v>1242</v>
      </c>
      <c r="C165" s="4" t="s">
        <v>1361</v>
      </c>
    </row>
    <row r="166" spans="1:3">
      <c r="A166" t="s">
        <v>218</v>
      </c>
      <c r="B166" s="4" t="s">
        <v>1241</v>
      </c>
      <c r="C166" s="4" t="s">
        <v>1362</v>
      </c>
    </row>
    <row r="167" spans="1:3">
      <c r="A167" t="s">
        <v>227</v>
      </c>
      <c r="B167" s="4" t="s">
        <v>1244</v>
      </c>
      <c r="C167" s="4" t="s">
        <v>1363</v>
      </c>
    </row>
    <row r="168" spans="1:3">
      <c r="A168" t="s">
        <v>182</v>
      </c>
      <c r="B168" s="4" t="s">
        <v>1229</v>
      </c>
      <c r="C168" s="4" t="s">
        <v>1364</v>
      </c>
    </row>
    <row r="169" spans="1:3">
      <c r="A169" t="s">
        <v>209</v>
      </c>
      <c r="B169" s="4" t="s">
        <v>1238</v>
      </c>
      <c r="C169" s="4" t="s">
        <v>1365</v>
      </c>
    </row>
    <row r="170" spans="1:3">
      <c r="A170" t="s">
        <v>167</v>
      </c>
      <c r="B170" s="4" t="s">
        <v>1225</v>
      </c>
      <c r="C170" s="4" t="s">
        <v>1366</v>
      </c>
    </row>
    <row r="171" spans="1:3">
      <c r="A171" t="s">
        <v>200</v>
      </c>
      <c r="B171" t="s">
        <v>1235</v>
      </c>
      <c r="C171" s="7" t="s">
        <v>1373</v>
      </c>
    </row>
  </sheetData>
  <sortState ref="A2:R172">
    <sortCondition ref="D2:D172"/>
  </sortState>
  <phoneticPr fontId="5" type="noConversion"/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71"/>
  <sheetViews>
    <sheetView workbookViewId="0">
      <selection activeCell="F2" sqref="F2:F171"/>
    </sheetView>
  </sheetViews>
  <sheetFormatPr baseColWidth="10" defaultRowHeight="15" x14ac:dyDescent="0"/>
  <cols>
    <col min="1" max="1" width="7" bestFit="1" customWidth="1"/>
    <col min="2" max="2" width="38.1640625" bestFit="1" customWidth="1"/>
    <col min="3" max="3" width="34.5" bestFit="1" customWidth="1"/>
    <col min="4" max="4" width="7" bestFit="1" customWidth="1"/>
    <col min="5" max="5" width="25.33203125" bestFit="1" customWidth="1"/>
    <col min="6" max="6" width="18.1640625" bestFit="1" customWidth="1"/>
    <col min="7" max="7" width="12" bestFit="1" customWidth="1"/>
  </cols>
  <sheetData>
    <row r="1" spans="1:11">
      <c r="B1" t="s">
        <v>1810</v>
      </c>
      <c r="C1" t="s">
        <v>2</v>
      </c>
      <c r="F1" t="s">
        <v>1814</v>
      </c>
    </row>
    <row r="2" spans="1:11">
      <c r="A2" t="s">
        <v>307</v>
      </c>
      <c r="B2" s="4" t="s">
        <v>1270</v>
      </c>
      <c r="C2" s="4" t="s">
        <v>1440</v>
      </c>
      <c r="D2">
        <v>1</v>
      </c>
      <c r="F2" t="str">
        <f t="shared" ref="F2:F38" si="0">CONCATENATE(H2,"_",I2)</f>
        <v>GCA_003315135.1</v>
      </c>
      <c r="H2" t="s">
        <v>1471</v>
      </c>
      <c r="I2" t="s">
        <v>1472</v>
      </c>
      <c r="J2" t="s">
        <v>1473</v>
      </c>
      <c r="K2" t="s">
        <v>1474</v>
      </c>
    </row>
    <row r="3" spans="1:11">
      <c r="A3" t="s">
        <v>331</v>
      </c>
      <c r="B3" s="4" t="s">
        <v>1277</v>
      </c>
      <c r="C3" s="4" t="s">
        <v>333</v>
      </c>
      <c r="D3">
        <v>10</v>
      </c>
      <c r="F3" t="str">
        <f t="shared" si="0"/>
        <v>GCA_036276175.1</v>
      </c>
      <c r="H3" t="s">
        <v>1471</v>
      </c>
      <c r="I3" t="s">
        <v>1475</v>
      </c>
      <c r="J3" t="s">
        <v>1476</v>
      </c>
      <c r="K3" t="s">
        <v>1474</v>
      </c>
    </row>
    <row r="4" spans="1:11">
      <c r="A4" t="s">
        <v>106</v>
      </c>
      <c r="B4" s="4" t="s">
        <v>1208</v>
      </c>
      <c r="C4" s="4" t="s">
        <v>1401</v>
      </c>
      <c r="D4">
        <v>100</v>
      </c>
      <c r="F4" t="str">
        <f t="shared" si="0"/>
        <v>GCA_018398275.1</v>
      </c>
      <c r="H4" t="s">
        <v>1471</v>
      </c>
      <c r="I4" t="s">
        <v>1477</v>
      </c>
      <c r="J4" t="s">
        <v>1478</v>
      </c>
      <c r="K4" t="s">
        <v>1474</v>
      </c>
    </row>
    <row r="5" spans="1:11">
      <c r="A5" t="s">
        <v>112</v>
      </c>
      <c r="B5" s="4" t="s">
        <v>1210</v>
      </c>
      <c r="C5" s="4" t="s">
        <v>1402</v>
      </c>
      <c r="D5">
        <v>101</v>
      </c>
      <c r="F5" t="str">
        <f t="shared" si="0"/>
        <v>GCA_018398355.1</v>
      </c>
      <c r="H5" t="s">
        <v>1471</v>
      </c>
      <c r="I5" t="s">
        <v>1479</v>
      </c>
      <c r="J5" t="s">
        <v>1480</v>
      </c>
      <c r="K5" t="s">
        <v>1474</v>
      </c>
    </row>
    <row r="6" spans="1:11">
      <c r="A6" t="s">
        <v>301</v>
      </c>
      <c r="B6" s="4" t="s">
        <v>1268</v>
      </c>
      <c r="C6" s="4" t="s">
        <v>1398</v>
      </c>
      <c r="D6">
        <v>102</v>
      </c>
      <c r="F6" t="str">
        <f t="shared" si="0"/>
        <v>GCA_022760755.1</v>
      </c>
      <c r="H6" t="s">
        <v>1471</v>
      </c>
      <c r="I6" t="s">
        <v>1481</v>
      </c>
      <c r="J6" t="s">
        <v>1482</v>
      </c>
      <c r="K6" t="s">
        <v>1474</v>
      </c>
    </row>
    <row r="7" spans="1:11">
      <c r="A7" t="s">
        <v>13</v>
      </c>
      <c r="B7" s="4" t="s">
        <v>1178</v>
      </c>
      <c r="C7" s="4" t="s">
        <v>1376</v>
      </c>
      <c r="D7">
        <v>103</v>
      </c>
      <c r="F7" t="str">
        <f t="shared" si="0"/>
        <v>GCA_024294805.1</v>
      </c>
      <c r="H7" t="s">
        <v>1471</v>
      </c>
      <c r="I7" t="s">
        <v>1483</v>
      </c>
      <c r="J7" t="s">
        <v>1484</v>
      </c>
      <c r="K7" t="s">
        <v>1474</v>
      </c>
    </row>
    <row r="8" spans="1:11">
      <c r="A8" t="s">
        <v>279</v>
      </c>
      <c r="B8" s="4" t="s">
        <v>1261</v>
      </c>
      <c r="C8" s="4" t="s">
        <v>1427</v>
      </c>
      <c r="D8">
        <v>104</v>
      </c>
      <c r="F8" t="str">
        <f t="shared" si="0"/>
        <v>GCA_024448135.1</v>
      </c>
      <c r="H8" t="s">
        <v>1471</v>
      </c>
      <c r="I8" t="s">
        <v>1485</v>
      </c>
      <c r="J8" t="s">
        <v>1486</v>
      </c>
      <c r="K8" t="s">
        <v>1474</v>
      </c>
    </row>
    <row r="9" spans="1:11">
      <c r="A9" t="s">
        <v>69</v>
      </c>
      <c r="B9" s="4" t="s">
        <v>1196</v>
      </c>
      <c r="C9" s="4" t="s">
        <v>1389</v>
      </c>
      <c r="D9">
        <v>105</v>
      </c>
      <c r="F9" t="str">
        <f t="shared" si="0"/>
        <v>GCA_025209975.1</v>
      </c>
      <c r="H9" t="s">
        <v>1471</v>
      </c>
      <c r="I9" t="s">
        <v>1487</v>
      </c>
      <c r="J9" t="s">
        <v>1488</v>
      </c>
      <c r="K9" t="s">
        <v>1474</v>
      </c>
    </row>
    <row r="10" spans="1:11">
      <c r="A10" t="s">
        <v>270</v>
      </c>
      <c r="B10" s="4" t="s">
        <v>1258</v>
      </c>
      <c r="C10" s="4" t="s">
        <v>1425</v>
      </c>
      <c r="D10">
        <v>106</v>
      </c>
      <c r="F10" t="str">
        <f t="shared" si="0"/>
        <v>GCA_027571405.1</v>
      </c>
      <c r="H10" t="s">
        <v>1471</v>
      </c>
      <c r="I10" t="s">
        <v>1489</v>
      </c>
      <c r="J10" t="s">
        <v>1490</v>
      </c>
      <c r="K10" t="s">
        <v>1474</v>
      </c>
    </row>
    <row r="11" spans="1:11">
      <c r="A11" t="s">
        <v>267</v>
      </c>
      <c r="B11" s="4" t="s">
        <v>1257</v>
      </c>
      <c r="C11" s="4" t="s">
        <v>1421</v>
      </c>
      <c r="D11">
        <v>107</v>
      </c>
      <c r="F11" t="str">
        <f t="shared" si="0"/>
        <v>GCA_027925385.1</v>
      </c>
      <c r="H11" t="s">
        <v>1471</v>
      </c>
      <c r="I11" t="s">
        <v>1491</v>
      </c>
      <c r="J11" t="s">
        <v>1492</v>
      </c>
      <c r="K11" t="s">
        <v>1474</v>
      </c>
    </row>
    <row r="12" spans="1:11">
      <c r="A12" t="s">
        <v>255</v>
      </c>
      <c r="B12" s="4" t="s">
        <v>1253</v>
      </c>
      <c r="C12" s="4" t="s">
        <v>1422</v>
      </c>
      <c r="D12">
        <v>108</v>
      </c>
      <c r="F12" t="str">
        <f t="shared" si="0"/>
        <v>GCA_027925445.1</v>
      </c>
      <c r="H12" t="s">
        <v>1471</v>
      </c>
      <c r="I12" t="s">
        <v>1493</v>
      </c>
      <c r="J12" t="s">
        <v>1494</v>
      </c>
      <c r="K12" t="s">
        <v>1474</v>
      </c>
    </row>
    <row r="13" spans="1:11">
      <c r="A13" t="s">
        <v>103</v>
      </c>
      <c r="B13" s="4" t="s">
        <v>1207</v>
      </c>
      <c r="C13" s="4" t="s">
        <v>1403</v>
      </c>
      <c r="D13">
        <v>109</v>
      </c>
      <c r="F13" t="str">
        <f t="shared" si="0"/>
        <v>GCA_030067675.1</v>
      </c>
      <c r="H13" t="s">
        <v>1471</v>
      </c>
      <c r="I13" t="s">
        <v>1495</v>
      </c>
      <c r="J13" t="s">
        <v>1496</v>
      </c>
      <c r="K13" t="s">
        <v>1474</v>
      </c>
    </row>
    <row r="14" spans="1:11">
      <c r="A14" t="s">
        <v>335</v>
      </c>
      <c r="B14" s="4" t="s">
        <v>1278</v>
      </c>
      <c r="C14" s="4" t="s">
        <v>1347</v>
      </c>
      <c r="D14">
        <v>11</v>
      </c>
      <c r="F14" t="str">
        <f t="shared" si="0"/>
        <v>GCA_043758995.1</v>
      </c>
      <c r="H14" t="s">
        <v>1471</v>
      </c>
      <c r="I14" t="s">
        <v>1497</v>
      </c>
      <c r="J14" t="s">
        <v>1498</v>
      </c>
      <c r="K14" t="s">
        <v>1474</v>
      </c>
    </row>
    <row r="15" spans="1:11">
      <c r="A15" t="s">
        <v>90</v>
      </c>
      <c r="B15" s="4" t="s">
        <v>1203</v>
      </c>
      <c r="C15" s="4" t="s">
        <v>1383</v>
      </c>
      <c r="D15">
        <v>110</v>
      </c>
      <c r="F15" t="str">
        <f t="shared" si="0"/>
        <v>GCA_030144325.1</v>
      </c>
      <c r="H15" t="s">
        <v>1471</v>
      </c>
      <c r="I15" t="s">
        <v>1499</v>
      </c>
      <c r="J15" t="s">
        <v>1500</v>
      </c>
      <c r="K15" t="s">
        <v>1474</v>
      </c>
    </row>
    <row r="16" spans="1:11">
      <c r="A16" t="s">
        <v>50</v>
      </c>
      <c r="B16" s="4" t="s">
        <v>1190</v>
      </c>
      <c r="C16" s="4" t="s">
        <v>1384</v>
      </c>
      <c r="D16">
        <v>111</v>
      </c>
      <c r="F16" t="str">
        <f t="shared" si="0"/>
        <v>GCA_030758975.1</v>
      </c>
      <c r="H16" t="s">
        <v>1471</v>
      </c>
      <c r="I16" t="s">
        <v>1501</v>
      </c>
      <c r="J16" t="s">
        <v>1502</v>
      </c>
      <c r="K16" t="s">
        <v>1474</v>
      </c>
    </row>
    <row r="17" spans="1:14">
      <c r="A17" t="s">
        <v>78</v>
      </c>
      <c r="B17" s="4" t="s">
        <v>1199</v>
      </c>
      <c r="C17" s="4" t="s">
        <v>1390</v>
      </c>
      <c r="D17">
        <v>112</v>
      </c>
      <c r="F17" t="str">
        <f t="shared" si="0"/>
        <v>GCA_032464875.1</v>
      </c>
      <c r="H17" t="s">
        <v>1471</v>
      </c>
      <c r="I17" t="s">
        <v>1503</v>
      </c>
      <c r="J17" t="s">
        <v>1504</v>
      </c>
      <c r="K17" t="s">
        <v>1474</v>
      </c>
    </row>
    <row r="18" spans="1:14">
      <c r="A18" t="s">
        <v>251</v>
      </c>
      <c r="B18" s="4" t="s">
        <v>1252</v>
      </c>
      <c r="C18" s="4" t="s">
        <v>1428</v>
      </c>
      <c r="D18">
        <v>113</v>
      </c>
      <c r="F18" t="str">
        <f t="shared" si="0"/>
        <v>GCA_036576025.1</v>
      </c>
      <c r="H18" t="s">
        <v>1471</v>
      </c>
      <c r="I18" t="s">
        <v>1505</v>
      </c>
      <c r="J18" t="s">
        <v>1506</v>
      </c>
      <c r="K18" t="s">
        <v>1474</v>
      </c>
    </row>
    <row r="19" spans="1:14">
      <c r="A19" t="s">
        <v>173</v>
      </c>
      <c r="B19" s="4" t="s">
        <v>1226</v>
      </c>
      <c r="C19" s="4" t="s">
        <v>1406</v>
      </c>
      <c r="D19">
        <v>114</v>
      </c>
      <c r="F19" t="str">
        <f t="shared" si="0"/>
        <v>GCA_039655745.1</v>
      </c>
      <c r="H19" t="s">
        <v>1471</v>
      </c>
      <c r="I19" t="s">
        <v>1507</v>
      </c>
      <c r="J19" t="s">
        <v>1508</v>
      </c>
      <c r="K19" t="s">
        <v>1474</v>
      </c>
    </row>
    <row r="20" spans="1:14">
      <c r="A20" t="s">
        <v>124</v>
      </c>
      <c r="B20" s="4" t="s">
        <v>1214</v>
      </c>
      <c r="C20" s="4" t="s">
        <v>1436</v>
      </c>
      <c r="D20">
        <v>115</v>
      </c>
      <c r="F20" t="str">
        <f t="shared" si="0"/>
        <v>GCA_042432495.1</v>
      </c>
      <c r="H20" t="s">
        <v>1471</v>
      </c>
      <c r="I20" t="s">
        <v>1509</v>
      </c>
      <c r="J20" t="s">
        <v>1510</v>
      </c>
      <c r="K20" t="s">
        <v>1474</v>
      </c>
    </row>
    <row r="21" spans="1:14">
      <c r="A21" t="s">
        <v>93</v>
      </c>
      <c r="B21" s="4" t="s">
        <v>1204</v>
      </c>
      <c r="C21" s="4" t="s">
        <v>1396</v>
      </c>
      <c r="D21">
        <v>116</v>
      </c>
      <c r="F21" t="str">
        <f t="shared" si="0"/>
        <v>GCA_042432745.1</v>
      </c>
      <c r="H21" t="s">
        <v>1471</v>
      </c>
      <c r="I21" t="s">
        <v>1511</v>
      </c>
      <c r="J21" t="s">
        <v>1512</v>
      </c>
      <c r="K21" t="s">
        <v>1474</v>
      </c>
    </row>
    <row r="22" spans="1:14">
      <c r="A22" t="s">
        <v>66</v>
      </c>
      <c r="B22" s="4" t="s">
        <v>1195</v>
      </c>
      <c r="C22" s="4" t="s">
        <v>1391</v>
      </c>
      <c r="D22">
        <v>117</v>
      </c>
      <c r="F22" t="str">
        <f t="shared" si="0"/>
        <v>GCA_042655245.1</v>
      </c>
      <c r="H22" t="s">
        <v>1471</v>
      </c>
      <c r="I22" t="s">
        <v>1513</v>
      </c>
      <c r="J22" t="s">
        <v>1514</v>
      </c>
      <c r="K22" t="s">
        <v>1474</v>
      </c>
    </row>
    <row r="23" spans="1:14">
      <c r="A23" t="s">
        <v>57</v>
      </c>
      <c r="B23" s="4" t="s">
        <v>1192</v>
      </c>
      <c r="C23" s="4" t="s">
        <v>1392</v>
      </c>
      <c r="D23">
        <v>118</v>
      </c>
      <c r="F23" t="str">
        <f t="shared" si="0"/>
        <v>GCA_042657265.1</v>
      </c>
      <c r="H23" t="s">
        <v>1471</v>
      </c>
      <c r="I23" t="s">
        <v>1515</v>
      </c>
      <c r="J23" t="s">
        <v>1516</v>
      </c>
      <c r="K23" t="s">
        <v>1474</v>
      </c>
    </row>
    <row r="24" spans="1:14">
      <c r="A24" t="s">
        <v>100</v>
      </c>
      <c r="B24" s="4" t="s">
        <v>1206</v>
      </c>
      <c r="C24" s="4" t="s">
        <v>1397</v>
      </c>
      <c r="D24">
        <v>119</v>
      </c>
      <c r="F24" t="str">
        <f t="shared" si="0"/>
        <v>GCA_042685445.1</v>
      </c>
      <c r="H24" t="s">
        <v>1471</v>
      </c>
      <c r="I24" t="s">
        <v>1517</v>
      </c>
      <c r="J24" t="s">
        <v>1518</v>
      </c>
      <c r="K24" t="s">
        <v>1474</v>
      </c>
    </row>
    <row r="25" spans="1:14">
      <c r="A25" t="s">
        <v>339</v>
      </c>
      <c r="B25" s="4" t="s">
        <v>1279</v>
      </c>
      <c r="C25" s="5" t="s">
        <v>340</v>
      </c>
      <c r="D25">
        <v>12</v>
      </c>
      <c r="F25" t="str">
        <f t="shared" si="0"/>
        <v>GCA_964236485.1</v>
      </c>
      <c r="H25" t="s">
        <v>1471</v>
      </c>
      <c r="I25" t="s">
        <v>1519</v>
      </c>
      <c r="J25" t="s">
        <v>1520</v>
      </c>
      <c r="K25" t="s">
        <v>1521</v>
      </c>
      <c r="L25" t="s">
        <v>1522</v>
      </c>
      <c r="M25" t="s">
        <v>1523</v>
      </c>
      <c r="N25" t="s">
        <v>1474</v>
      </c>
    </row>
    <row r="26" spans="1:14">
      <c r="A26" t="s">
        <v>75</v>
      </c>
      <c r="B26" s="4" t="s">
        <v>1198</v>
      </c>
      <c r="C26" s="4" t="s">
        <v>1385</v>
      </c>
      <c r="D26">
        <v>120</v>
      </c>
      <c r="F26" t="str">
        <f t="shared" si="0"/>
        <v>GCA_900102525.1</v>
      </c>
      <c r="H26" t="s">
        <v>1471</v>
      </c>
      <c r="I26" t="s">
        <v>1524</v>
      </c>
      <c r="J26" t="s">
        <v>1525</v>
      </c>
      <c r="K26">
        <v>2675903146</v>
      </c>
      <c r="L26" t="s">
        <v>1526</v>
      </c>
      <c r="M26" t="s">
        <v>1527</v>
      </c>
      <c r="N26" t="s">
        <v>1474</v>
      </c>
    </row>
    <row r="27" spans="1:14">
      <c r="A27" t="s">
        <v>60</v>
      </c>
      <c r="B27" s="4" t="s">
        <v>1193</v>
      </c>
      <c r="C27" s="4" t="s">
        <v>1386</v>
      </c>
      <c r="D27">
        <v>121</v>
      </c>
      <c r="F27" t="str">
        <f t="shared" si="0"/>
        <v>GCA_900108245.1</v>
      </c>
      <c r="H27" t="s">
        <v>1471</v>
      </c>
      <c r="I27" t="s">
        <v>1528</v>
      </c>
      <c r="J27" t="s">
        <v>1525</v>
      </c>
      <c r="K27">
        <v>2622736433</v>
      </c>
      <c r="L27" t="s">
        <v>1526</v>
      </c>
      <c r="M27" t="s">
        <v>1527</v>
      </c>
      <c r="N27" t="s">
        <v>1474</v>
      </c>
    </row>
    <row r="28" spans="1:14">
      <c r="A28" t="s">
        <v>63</v>
      </c>
      <c r="B28" s="4" t="s">
        <v>1194</v>
      </c>
      <c r="C28" s="4" t="s">
        <v>1444</v>
      </c>
      <c r="D28">
        <v>122</v>
      </c>
      <c r="F28" t="str">
        <f t="shared" si="0"/>
        <v>GCA_900109525.1</v>
      </c>
      <c r="H28" t="s">
        <v>1471</v>
      </c>
      <c r="I28" t="s">
        <v>1529</v>
      </c>
      <c r="J28" t="s">
        <v>1525</v>
      </c>
      <c r="K28">
        <v>2634166302</v>
      </c>
      <c r="L28" t="s">
        <v>1526</v>
      </c>
      <c r="M28" t="s">
        <v>1527</v>
      </c>
      <c r="N28" t="s">
        <v>1474</v>
      </c>
    </row>
    <row r="29" spans="1:14">
      <c r="A29" t="s">
        <v>84</v>
      </c>
      <c r="B29" s="4" t="s">
        <v>1201</v>
      </c>
      <c r="C29" s="4" t="s">
        <v>1387</v>
      </c>
      <c r="D29">
        <v>123</v>
      </c>
      <c r="F29" t="str">
        <f t="shared" si="0"/>
        <v>GCA_900168195.1</v>
      </c>
      <c r="H29" t="s">
        <v>1471</v>
      </c>
      <c r="I29" t="s">
        <v>1530</v>
      </c>
      <c r="J29" t="s">
        <v>1525</v>
      </c>
      <c r="K29">
        <v>2595698224</v>
      </c>
      <c r="L29" t="s">
        <v>1526</v>
      </c>
      <c r="M29" t="s">
        <v>1527</v>
      </c>
      <c r="N29" t="s">
        <v>1474</v>
      </c>
    </row>
    <row r="30" spans="1:14">
      <c r="A30" t="s">
        <v>19</v>
      </c>
      <c r="B30" s="4" t="s">
        <v>1180</v>
      </c>
      <c r="C30" s="4" t="s">
        <v>1378</v>
      </c>
      <c r="D30">
        <v>124</v>
      </c>
      <c r="F30" t="str">
        <f t="shared" si="0"/>
        <v>GCF_000019845.1</v>
      </c>
      <c r="H30" t="s">
        <v>1531</v>
      </c>
      <c r="I30" t="s">
        <v>1532</v>
      </c>
      <c r="J30" t="s">
        <v>1533</v>
      </c>
      <c r="K30" t="s">
        <v>1474</v>
      </c>
    </row>
    <row r="31" spans="1:14">
      <c r="A31" t="s">
        <v>44</v>
      </c>
      <c r="B31" s="4" t="s">
        <v>1188</v>
      </c>
      <c r="C31" s="4" t="s">
        <v>1431</v>
      </c>
      <c r="D31">
        <v>125</v>
      </c>
      <c r="F31" t="str">
        <f t="shared" si="0"/>
        <v>GCF_000385335.1</v>
      </c>
      <c r="H31" t="s">
        <v>1531</v>
      </c>
      <c r="I31" t="s">
        <v>1534</v>
      </c>
      <c r="J31" t="s">
        <v>1535</v>
      </c>
      <c r="K31" t="s">
        <v>1474</v>
      </c>
    </row>
    <row r="32" spans="1:14">
      <c r="A32" t="s">
        <v>26</v>
      </c>
      <c r="B32" s="4" t="s">
        <v>1182</v>
      </c>
      <c r="C32" s="4" t="s">
        <v>1415</v>
      </c>
      <c r="D32">
        <v>126</v>
      </c>
      <c r="F32" t="str">
        <f t="shared" si="0"/>
        <v>GCF_000427445.1</v>
      </c>
      <c r="H32" t="s">
        <v>1531</v>
      </c>
      <c r="I32" t="s">
        <v>1536</v>
      </c>
      <c r="J32" t="s">
        <v>1537</v>
      </c>
      <c r="K32" t="s">
        <v>1474</v>
      </c>
    </row>
    <row r="33" spans="1:14">
      <c r="A33" t="s">
        <v>23</v>
      </c>
      <c r="B33" s="4" t="s">
        <v>1181</v>
      </c>
      <c r="C33" s="4" t="s">
        <v>1379</v>
      </c>
      <c r="D33">
        <v>127</v>
      </c>
      <c r="F33" t="str">
        <f t="shared" si="0"/>
        <v>GCF_000745425.1</v>
      </c>
      <c r="H33" t="s">
        <v>1531</v>
      </c>
      <c r="I33" t="s">
        <v>1538</v>
      </c>
      <c r="J33" t="s">
        <v>1539</v>
      </c>
      <c r="K33" t="s">
        <v>1474</v>
      </c>
    </row>
    <row r="34" spans="1:14">
      <c r="A34" t="s">
        <v>29</v>
      </c>
      <c r="B34" s="4" t="s">
        <v>1183</v>
      </c>
      <c r="C34" s="4" t="s">
        <v>1418</v>
      </c>
      <c r="D34">
        <v>128</v>
      </c>
      <c r="F34" t="str">
        <f t="shared" si="0"/>
        <v>GCF_000746085.1</v>
      </c>
      <c r="H34" t="s">
        <v>1531</v>
      </c>
      <c r="I34" t="s">
        <v>1540</v>
      </c>
      <c r="J34" t="s">
        <v>1541</v>
      </c>
      <c r="K34" t="s">
        <v>1474</v>
      </c>
    </row>
    <row r="35" spans="1:14">
      <c r="A35" t="s">
        <v>47</v>
      </c>
      <c r="B35" s="4" t="s">
        <v>1189</v>
      </c>
      <c r="C35" s="4" t="s">
        <v>1434</v>
      </c>
      <c r="D35">
        <v>129</v>
      </c>
      <c r="F35" t="str">
        <f t="shared" si="0"/>
        <v>GCF_004135935.1</v>
      </c>
      <c r="H35" t="s">
        <v>1531</v>
      </c>
      <c r="I35" t="s">
        <v>1542</v>
      </c>
      <c r="J35" t="s">
        <v>1543</v>
      </c>
      <c r="K35" t="s">
        <v>1474</v>
      </c>
    </row>
    <row r="36" spans="1:14">
      <c r="A36" t="s">
        <v>342</v>
      </c>
      <c r="B36" s="4" t="s">
        <v>1280</v>
      </c>
      <c r="C36" s="5" t="s">
        <v>343</v>
      </c>
      <c r="D36">
        <v>13</v>
      </c>
      <c r="F36" t="str">
        <f t="shared" si="0"/>
        <v>GCA_964242265.1</v>
      </c>
      <c r="H36" t="s">
        <v>1471</v>
      </c>
      <c r="I36" t="s">
        <v>1544</v>
      </c>
      <c r="J36" t="s">
        <v>1520</v>
      </c>
      <c r="K36" t="s">
        <v>1545</v>
      </c>
      <c r="L36" t="s">
        <v>1522</v>
      </c>
      <c r="M36" t="s">
        <v>1546</v>
      </c>
      <c r="N36" t="s">
        <v>1474</v>
      </c>
    </row>
    <row r="37" spans="1:14">
      <c r="A37" t="s">
        <v>41</v>
      </c>
      <c r="B37" s="4" t="s">
        <v>1187</v>
      </c>
      <c r="C37" s="4" t="s">
        <v>1420</v>
      </c>
      <c r="D37">
        <v>130</v>
      </c>
      <c r="F37" t="str">
        <f t="shared" si="0"/>
        <v>GCF_038024855.1</v>
      </c>
      <c r="H37" t="s">
        <v>1531</v>
      </c>
      <c r="I37" t="s">
        <v>1547</v>
      </c>
      <c r="J37" t="s">
        <v>1548</v>
      </c>
      <c r="K37" t="s">
        <v>1474</v>
      </c>
    </row>
    <row r="38" spans="1:14">
      <c r="A38" t="s">
        <v>35</v>
      </c>
      <c r="B38" s="4" t="s">
        <v>1185</v>
      </c>
      <c r="C38" s="4" t="s">
        <v>1416</v>
      </c>
      <c r="D38">
        <v>131</v>
      </c>
      <c r="F38" t="str">
        <f t="shared" si="0"/>
        <v>GCF_045689225.1</v>
      </c>
      <c r="H38" t="s">
        <v>1531</v>
      </c>
      <c r="I38" t="s">
        <v>1549</v>
      </c>
      <c r="J38" t="s">
        <v>1550</v>
      </c>
      <c r="K38" t="s">
        <v>1474</v>
      </c>
    </row>
    <row r="39" spans="1:14">
      <c r="A39" t="s">
        <v>127</v>
      </c>
      <c r="B39" s="4" t="s">
        <v>1215</v>
      </c>
      <c r="C39" s="5" t="s">
        <v>1002</v>
      </c>
      <c r="D39">
        <v>132</v>
      </c>
      <c r="F39" t="s">
        <v>1811</v>
      </c>
      <c r="H39" t="s">
        <v>129</v>
      </c>
    </row>
    <row r="40" spans="1:14">
      <c r="A40" t="s">
        <v>233</v>
      </c>
      <c r="B40" s="4" t="s">
        <v>1246</v>
      </c>
      <c r="C40" s="4" t="s">
        <v>1352</v>
      </c>
      <c r="D40">
        <v>133</v>
      </c>
      <c r="F40" t="s">
        <v>1812</v>
      </c>
      <c r="H40" t="s">
        <v>1551</v>
      </c>
      <c r="I40" t="s">
        <v>1552</v>
      </c>
      <c r="J40" t="s">
        <v>1553</v>
      </c>
      <c r="K40">
        <v>44</v>
      </c>
      <c r="L40" t="s">
        <v>1554</v>
      </c>
    </row>
    <row r="41" spans="1:14">
      <c r="A41" t="s">
        <v>203</v>
      </c>
      <c r="B41" s="4" t="s">
        <v>1236</v>
      </c>
      <c r="C41" s="4" t="s">
        <v>1353</v>
      </c>
      <c r="D41">
        <v>134</v>
      </c>
      <c r="F41" t="s">
        <v>1813</v>
      </c>
      <c r="H41" t="s">
        <v>1555</v>
      </c>
      <c r="I41" t="s">
        <v>1552</v>
      </c>
      <c r="J41" t="s">
        <v>1556</v>
      </c>
      <c r="K41" t="s">
        <v>1557</v>
      </c>
    </row>
    <row r="42" spans="1:14">
      <c r="A42" t="s">
        <v>188</v>
      </c>
      <c r="B42" s="4" t="s">
        <v>1231</v>
      </c>
      <c r="C42" s="4" t="s">
        <v>1354</v>
      </c>
      <c r="D42">
        <v>135</v>
      </c>
      <c r="F42" t="s">
        <v>1815</v>
      </c>
      <c r="H42" t="s">
        <v>1558</v>
      </c>
      <c r="I42" t="s">
        <v>1552</v>
      </c>
      <c r="J42" t="s">
        <v>1559</v>
      </c>
      <c r="K42" t="s">
        <v>1560</v>
      </c>
    </row>
    <row r="43" spans="1:14">
      <c r="A43" t="s">
        <v>221</v>
      </c>
      <c r="B43" s="4" t="s">
        <v>1242</v>
      </c>
      <c r="C43" s="4" t="s">
        <v>1361</v>
      </c>
      <c r="D43">
        <v>136</v>
      </c>
      <c r="F43" t="s">
        <v>1816</v>
      </c>
      <c r="H43" t="s">
        <v>1561</v>
      </c>
      <c r="I43" t="s">
        <v>1552</v>
      </c>
      <c r="J43" t="s">
        <v>1553</v>
      </c>
      <c r="K43">
        <v>11</v>
      </c>
      <c r="L43" t="s">
        <v>1562</v>
      </c>
    </row>
    <row r="44" spans="1:14">
      <c r="A44" t="s">
        <v>218</v>
      </c>
      <c r="B44" s="4" t="s">
        <v>1241</v>
      </c>
      <c r="C44" s="4" t="s">
        <v>1362</v>
      </c>
      <c r="D44">
        <v>137</v>
      </c>
      <c r="F44" t="s">
        <v>1817</v>
      </c>
      <c r="H44" t="s">
        <v>1563</v>
      </c>
      <c r="I44" t="s">
        <v>1552</v>
      </c>
      <c r="J44" t="s">
        <v>1553</v>
      </c>
      <c r="K44">
        <v>9</v>
      </c>
      <c r="L44" t="s">
        <v>1564</v>
      </c>
    </row>
    <row r="45" spans="1:14">
      <c r="A45" t="s">
        <v>227</v>
      </c>
      <c r="B45" s="4" t="s">
        <v>1244</v>
      </c>
      <c r="C45" s="4" t="s">
        <v>1363</v>
      </c>
      <c r="D45">
        <v>138</v>
      </c>
      <c r="F45" t="s">
        <v>1818</v>
      </c>
      <c r="H45" t="s">
        <v>1565</v>
      </c>
      <c r="I45" t="s">
        <v>1552</v>
      </c>
      <c r="J45" t="s">
        <v>1553</v>
      </c>
      <c r="K45">
        <v>17</v>
      </c>
      <c r="L45" t="s">
        <v>1566</v>
      </c>
    </row>
    <row r="46" spans="1:14">
      <c r="A46" t="s">
        <v>185</v>
      </c>
      <c r="B46" s="4" t="s">
        <v>1230</v>
      </c>
      <c r="C46" s="4" t="s">
        <v>1357</v>
      </c>
      <c r="D46">
        <v>139</v>
      </c>
      <c r="F46" t="s">
        <v>1819</v>
      </c>
      <c r="H46" t="s">
        <v>1567</v>
      </c>
      <c r="I46" t="s">
        <v>1552</v>
      </c>
      <c r="J46" t="s">
        <v>1568</v>
      </c>
      <c r="K46" t="s">
        <v>1569</v>
      </c>
    </row>
    <row r="47" spans="1:14">
      <c r="A47" t="s">
        <v>345</v>
      </c>
      <c r="B47" s="4" t="s">
        <v>1281</v>
      </c>
      <c r="C47" s="5" t="s">
        <v>346</v>
      </c>
      <c r="D47">
        <v>14</v>
      </c>
      <c r="F47" t="str">
        <f>CONCATENATE(H47,"_",I47)</f>
        <v>GCA_964242785.1</v>
      </c>
      <c r="H47" t="s">
        <v>1471</v>
      </c>
      <c r="I47" t="s">
        <v>1570</v>
      </c>
      <c r="J47" t="s">
        <v>1571</v>
      </c>
      <c r="K47" t="s">
        <v>1572</v>
      </c>
      <c r="L47" t="s">
        <v>1522</v>
      </c>
      <c r="M47" t="s">
        <v>1573</v>
      </c>
      <c r="N47" t="s">
        <v>1474</v>
      </c>
    </row>
    <row r="48" spans="1:14">
      <c r="A48" t="s">
        <v>212</v>
      </c>
      <c r="B48" s="4" t="s">
        <v>1239</v>
      </c>
      <c r="C48" s="4" t="s">
        <v>1358</v>
      </c>
      <c r="D48">
        <v>140</v>
      </c>
      <c r="F48" t="s">
        <v>1820</v>
      </c>
      <c r="H48" t="s">
        <v>1574</v>
      </c>
      <c r="I48" t="s">
        <v>1552</v>
      </c>
      <c r="J48" t="s">
        <v>1575</v>
      </c>
      <c r="K48" t="s">
        <v>1576</v>
      </c>
    </row>
    <row r="49" spans="1:14">
      <c r="A49" t="s">
        <v>230</v>
      </c>
      <c r="B49" s="4" t="s">
        <v>1245</v>
      </c>
      <c r="C49" s="4" t="s">
        <v>1359</v>
      </c>
      <c r="D49">
        <v>141</v>
      </c>
      <c r="F49" t="s">
        <v>1821</v>
      </c>
      <c r="H49" t="s">
        <v>1446</v>
      </c>
      <c r="I49" t="s">
        <v>1552</v>
      </c>
      <c r="J49" t="s">
        <v>1553</v>
      </c>
      <c r="K49">
        <v>43</v>
      </c>
      <c r="L49" t="s">
        <v>1577</v>
      </c>
    </row>
    <row r="50" spans="1:14">
      <c r="A50" t="s">
        <v>209</v>
      </c>
      <c r="B50" s="4" t="s">
        <v>1238</v>
      </c>
      <c r="C50" s="4" t="s">
        <v>1365</v>
      </c>
      <c r="D50">
        <v>142</v>
      </c>
      <c r="F50" t="s">
        <v>1822</v>
      </c>
      <c r="H50" t="s">
        <v>1578</v>
      </c>
      <c r="I50" t="s">
        <v>1552</v>
      </c>
      <c r="J50" t="s">
        <v>1579</v>
      </c>
      <c r="K50" t="s">
        <v>1580</v>
      </c>
    </row>
    <row r="51" spans="1:14">
      <c r="A51" t="s">
        <v>215</v>
      </c>
      <c r="B51" s="4" t="s">
        <v>1240</v>
      </c>
      <c r="C51" s="4" t="s">
        <v>1350</v>
      </c>
      <c r="D51">
        <v>143</v>
      </c>
      <c r="F51" t="s">
        <v>1823</v>
      </c>
      <c r="H51" t="s">
        <v>1581</v>
      </c>
      <c r="I51" t="s">
        <v>1552</v>
      </c>
      <c r="J51" t="s">
        <v>1553</v>
      </c>
      <c r="K51">
        <v>1</v>
      </c>
      <c r="L51" t="s">
        <v>1582</v>
      </c>
    </row>
    <row r="52" spans="1:14">
      <c r="A52" t="s">
        <v>245</v>
      </c>
      <c r="B52" s="4" t="s">
        <v>1250</v>
      </c>
      <c r="C52" s="4" t="s">
        <v>1355</v>
      </c>
      <c r="D52">
        <v>144</v>
      </c>
      <c r="F52" t="s">
        <v>1824</v>
      </c>
      <c r="H52" t="s">
        <v>1583</v>
      </c>
      <c r="I52" t="s">
        <v>1584</v>
      </c>
      <c r="J52" t="s">
        <v>1585</v>
      </c>
      <c r="K52" t="s">
        <v>1586</v>
      </c>
    </row>
    <row r="53" spans="1:14">
      <c r="A53" t="s">
        <v>182</v>
      </c>
      <c r="B53" s="4" t="s">
        <v>1229</v>
      </c>
      <c r="C53" s="4" t="s">
        <v>1364</v>
      </c>
      <c r="D53">
        <v>145</v>
      </c>
      <c r="F53" t="s">
        <v>1825</v>
      </c>
      <c r="H53" t="s">
        <v>1587</v>
      </c>
      <c r="I53" t="s">
        <v>1552</v>
      </c>
      <c r="J53" t="s">
        <v>1588</v>
      </c>
      <c r="K53" t="s">
        <v>1589</v>
      </c>
    </row>
    <row r="54" spans="1:14">
      <c r="A54" t="s">
        <v>239</v>
      </c>
      <c r="B54" s="4" t="s">
        <v>1248</v>
      </c>
      <c r="C54" s="4" t="s">
        <v>1360</v>
      </c>
      <c r="D54">
        <v>146</v>
      </c>
      <c r="F54" t="s">
        <v>1826</v>
      </c>
      <c r="H54" t="s">
        <v>1590</v>
      </c>
      <c r="I54" t="s">
        <v>1552</v>
      </c>
      <c r="J54" t="s">
        <v>1591</v>
      </c>
      <c r="K54" t="s">
        <v>1592</v>
      </c>
    </row>
    <row r="55" spans="1:14">
      <c r="A55" t="s">
        <v>167</v>
      </c>
      <c r="B55" s="4" t="s">
        <v>1225</v>
      </c>
      <c r="C55" s="4" t="s">
        <v>1366</v>
      </c>
      <c r="D55">
        <v>147</v>
      </c>
      <c r="F55" t="s">
        <v>1827</v>
      </c>
      <c r="H55" t="s">
        <v>1593</v>
      </c>
      <c r="I55" t="s">
        <v>1594</v>
      </c>
      <c r="J55" t="s">
        <v>1595</v>
      </c>
      <c r="K55" t="s">
        <v>1596</v>
      </c>
    </row>
    <row r="56" spans="1:14">
      <c r="A56" t="s">
        <v>224</v>
      </c>
      <c r="B56" s="4" t="s">
        <v>1243</v>
      </c>
      <c r="C56" s="4">
        <v>77</v>
      </c>
      <c r="D56">
        <v>148</v>
      </c>
      <c r="F56" t="s">
        <v>1828</v>
      </c>
      <c r="H56" t="s">
        <v>1597</v>
      </c>
      <c r="I56" t="s">
        <v>1552</v>
      </c>
      <c r="J56" t="s">
        <v>1553</v>
      </c>
      <c r="K56">
        <v>13</v>
      </c>
      <c r="L56" t="s">
        <v>1598</v>
      </c>
    </row>
    <row r="57" spans="1:14">
      <c r="A57" t="s">
        <v>248</v>
      </c>
      <c r="B57" s="4" t="s">
        <v>1251</v>
      </c>
      <c r="C57" s="4" t="s">
        <v>1356</v>
      </c>
      <c r="D57">
        <v>149</v>
      </c>
      <c r="F57" t="s">
        <v>1829</v>
      </c>
      <c r="H57" t="s">
        <v>1583</v>
      </c>
      <c r="I57" t="s">
        <v>1584</v>
      </c>
      <c r="J57" t="s">
        <v>1553</v>
      </c>
      <c r="K57">
        <v>1</v>
      </c>
      <c r="L57" t="s">
        <v>1599</v>
      </c>
    </row>
    <row r="58" spans="1:14">
      <c r="A58" t="s">
        <v>375</v>
      </c>
      <c r="B58" s="4" t="s">
        <v>1291</v>
      </c>
      <c r="C58" s="5" t="s">
        <v>376</v>
      </c>
      <c r="D58">
        <v>15</v>
      </c>
      <c r="F58" t="str">
        <f>CONCATENATE(H58,"_",I58)</f>
        <v>GCA_964243035.1</v>
      </c>
      <c r="H58" t="s">
        <v>1471</v>
      </c>
      <c r="I58" t="s">
        <v>1600</v>
      </c>
      <c r="J58" t="s">
        <v>1520</v>
      </c>
      <c r="K58" t="s">
        <v>1601</v>
      </c>
      <c r="L58" t="s">
        <v>1522</v>
      </c>
      <c r="M58" t="s">
        <v>1602</v>
      </c>
      <c r="N58" t="s">
        <v>1474</v>
      </c>
    </row>
    <row r="59" spans="1:14">
      <c r="A59" t="s">
        <v>176</v>
      </c>
      <c r="B59" s="4" t="s">
        <v>1227</v>
      </c>
      <c r="C59" s="4" t="s">
        <v>1351</v>
      </c>
      <c r="D59">
        <v>150</v>
      </c>
      <c r="F59" t="s">
        <v>1830</v>
      </c>
      <c r="H59" t="s">
        <v>1603</v>
      </c>
      <c r="I59" t="s">
        <v>1552</v>
      </c>
      <c r="J59" t="s">
        <v>1604</v>
      </c>
      <c r="K59" t="s">
        <v>1605</v>
      </c>
    </row>
    <row r="60" spans="1:14">
      <c r="A60" t="s">
        <v>170</v>
      </c>
      <c r="B60" s="4" t="s">
        <v>1224</v>
      </c>
      <c r="C60" s="4" t="s">
        <v>1022</v>
      </c>
      <c r="D60">
        <v>151</v>
      </c>
      <c r="F60" t="s">
        <v>1831</v>
      </c>
      <c r="H60" t="s">
        <v>1593</v>
      </c>
      <c r="I60" t="s">
        <v>1594</v>
      </c>
      <c r="J60" t="s">
        <v>1553</v>
      </c>
      <c r="K60">
        <v>1</v>
      </c>
      <c r="L60" t="s">
        <v>1606</v>
      </c>
    </row>
    <row r="61" spans="1:14">
      <c r="A61" t="s">
        <v>179</v>
      </c>
      <c r="B61" t="s">
        <v>1228</v>
      </c>
      <c r="C61" s="4" t="s">
        <v>1447</v>
      </c>
      <c r="D61">
        <v>152</v>
      </c>
      <c r="F61" t="s">
        <v>1465</v>
      </c>
      <c r="G61" t="s">
        <v>1456</v>
      </c>
      <c r="H61" t="s">
        <v>1607</v>
      </c>
      <c r="I61" t="s">
        <v>1552</v>
      </c>
      <c r="J61" t="s">
        <v>1608</v>
      </c>
      <c r="K61" t="s">
        <v>1609</v>
      </c>
    </row>
    <row r="62" spans="1:14">
      <c r="A62" t="s">
        <v>191</v>
      </c>
      <c r="B62" t="s">
        <v>1232</v>
      </c>
      <c r="C62" s="4" t="s">
        <v>1448</v>
      </c>
      <c r="D62">
        <v>153</v>
      </c>
      <c r="F62" t="s">
        <v>1454</v>
      </c>
      <c r="G62" t="s">
        <v>1455</v>
      </c>
      <c r="H62" t="s">
        <v>1610</v>
      </c>
      <c r="I62" t="s">
        <v>1552</v>
      </c>
      <c r="J62" t="s">
        <v>1611</v>
      </c>
      <c r="K62" t="s">
        <v>1612</v>
      </c>
    </row>
    <row r="63" spans="1:14">
      <c r="A63" t="s">
        <v>194</v>
      </c>
      <c r="B63" t="s">
        <v>1233</v>
      </c>
      <c r="C63" s="4" t="s">
        <v>1449</v>
      </c>
      <c r="D63">
        <v>154</v>
      </c>
      <c r="F63" t="s">
        <v>1458</v>
      </c>
      <c r="G63" t="s">
        <v>1457</v>
      </c>
      <c r="H63" t="s">
        <v>1613</v>
      </c>
      <c r="I63" t="s">
        <v>1552</v>
      </c>
      <c r="J63" t="s">
        <v>1614</v>
      </c>
      <c r="K63" t="s">
        <v>1615</v>
      </c>
    </row>
    <row r="64" spans="1:14">
      <c r="A64" t="s">
        <v>197</v>
      </c>
      <c r="B64" t="s">
        <v>1234</v>
      </c>
      <c r="C64" s="4" t="s">
        <v>1450</v>
      </c>
      <c r="D64">
        <v>155</v>
      </c>
      <c r="F64" t="s">
        <v>1466</v>
      </c>
      <c r="G64" t="s">
        <v>1459</v>
      </c>
      <c r="H64" t="s">
        <v>1616</v>
      </c>
      <c r="I64" t="s">
        <v>1552</v>
      </c>
      <c r="J64" t="s">
        <v>1617</v>
      </c>
      <c r="K64" t="s">
        <v>1618</v>
      </c>
    </row>
    <row r="65" spans="1:16">
      <c r="A65" t="s">
        <v>200</v>
      </c>
      <c r="B65" t="s">
        <v>1235</v>
      </c>
      <c r="C65" s="4" t="s">
        <v>1464</v>
      </c>
      <c r="D65">
        <v>156</v>
      </c>
      <c r="F65" t="s">
        <v>1467</v>
      </c>
      <c r="G65" t="s">
        <v>1460</v>
      </c>
      <c r="H65" t="s">
        <v>1619</v>
      </c>
      <c r="I65" t="s">
        <v>1552</v>
      </c>
      <c r="J65" t="s">
        <v>1620</v>
      </c>
      <c r="K65" t="s">
        <v>1621</v>
      </c>
    </row>
    <row r="66" spans="1:16">
      <c r="A66" t="s">
        <v>206</v>
      </c>
      <c r="B66" t="s">
        <v>1237</v>
      </c>
      <c r="C66" s="4" t="s">
        <v>1451</v>
      </c>
      <c r="D66">
        <v>157</v>
      </c>
      <c r="F66" t="s">
        <v>1468</v>
      </c>
      <c r="G66" t="s">
        <v>1461</v>
      </c>
      <c r="H66" t="s">
        <v>1445</v>
      </c>
      <c r="I66" t="s">
        <v>1552</v>
      </c>
      <c r="J66" t="s">
        <v>1622</v>
      </c>
      <c r="K66" t="s">
        <v>1623</v>
      </c>
    </row>
    <row r="67" spans="1:16">
      <c r="A67" t="s">
        <v>242</v>
      </c>
      <c r="B67" t="s">
        <v>1249</v>
      </c>
      <c r="C67" s="4" t="s">
        <v>1452</v>
      </c>
      <c r="D67">
        <v>158</v>
      </c>
      <c r="F67" t="s">
        <v>1469</v>
      </c>
      <c r="G67" t="s">
        <v>1462</v>
      </c>
      <c r="H67" t="s">
        <v>1624</v>
      </c>
      <c r="I67" t="s">
        <v>1552</v>
      </c>
      <c r="J67" t="s">
        <v>1625</v>
      </c>
      <c r="K67" t="s">
        <v>1626</v>
      </c>
    </row>
    <row r="68" spans="1:16">
      <c r="A68" t="s">
        <v>236</v>
      </c>
      <c r="B68" t="s">
        <v>1247</v>
      </c>
      <c r="C68" s="4" t="s">
        <v>1453</v>
      </c>
      <c r="D68">
        <v>159</v>
      </c>
      <c r="F68" t="s">
        <v>1470</v>
      </c>
      <c r="G68" t="s">
        <v>1463</v>
      </c>
      <c r="H68" t="s">
        <v>907</v>
      </c>
      <c r="I68" t="s">
        <v>1552</v>
      </c>
      <c r="J68" t="s">
        <v>1627</v>
      </c>
      <c r="K68" t="s">
        <v>1628</v>
      </c>
    </row>
    <row r="69" spans="1:16">
      <c r="A69" t="s">
        <v>378</v>
      </c>
      <c r="B69" s="4" t="s">
        <v>1292</v>
      </c>
      <c r="C69" s="5" t="s">
        <v>379</v>
      </c>
      <c r="D69">
        <v>16</v>
      </c>
      <c r="F69" t="str">
        <f t="shared" ref="F69:F77" si="1">CONCATENATE(H69,"_",I69)</f>
        <v>GCA_964243125.1</v>
      </c>
      <c r="H69" t="s">
        <v>1471</v>
      </c>
      <c r="I69" t="s">
        <v>1629</v>
      </c>
      <c r="J69" t="s">
        <v>1520</v>
      </c>
      <c r="K69" t="s">
        <v>1630</v>
      </c>
      <c r="L69" t="s">
        <v>1522</v>
      </c>
      <c r="M69" t="s">
        <v>1631</v>
      </c>
      <c r="N69" t="s">
        <v>1474</v>
      </c>
    </row>
    <row r="70" spans="1:16">
      <c r="A70" t="s">
        <v>32</v>
      </c>
      <c r="B70" s="4" t="s">
        <v>1184</v>
      </c>
      <c r="C70" s="4" t="s">
        <v>1417</v>
      </c>
      <c r="D70">
        <v>160</v>
      </c>
      <c r="F70" t="str">
        <f t="shared" si="1"/>
        <v>GCF_900114285.1</v>
      </c>
      <c r="H70" t="s">
        <v>1531</v>
      </c>
      <c r="I70" t="s">
        <v>1632</v>
      </c>
      <c r="J70" t="s">
        <v>1525</v>
      </c>
      <c r="K70">
        <v>2675903028</v>
      </c>
      <c r="L70" t="s">
        <v>1526</v>
      </c>
      <c r="M70" t="s">
        <v>1527</v>
      </c>
      <c r="N70" t="s">
        <v>1474</v>
      </c>
    </row>
    <row r="71" spans="1:16">
      <c r="A71" t="s">
        <v>38</v>
      </c>
      <c r="B71" s="4" t="s">
        <v>1186</v>
      </c>
      <c r="C71" s="4" t="s">
        <v>1419</v>
      </c>
      <c r="D71">
        <v>161</v>
      </c>
      <c r="F71" t="str">
        <f t="shared" si="1"/>
        <v>GCF_000021745.1</v>
      </c>
      <c r="H71" t="s">
        <v>1531</v>
      </c>
      <c r="I71" t="s">
        <v>1633</v>
      </c>
      <c r="J71" t="s">
        <v>1634</v>
      </c>
      <c r="K71" t="s">
        <v>1474</v>
      </c>
    </row>
    <row r="72" spans="1:16">
      <c r="A72" t="s">
        <v>297</v>
      </c>
      <c r="B72" s="4" t="s">
        <v>1267</v>
      </c>
      <c r="C72" s="4" t="s">
        <v>1438</v>
      </c>
      <c r="D72">
        <v>162</v>
      </c>
      <c r="F72" t="str">
        <f t="shared" si="1"/>
        <v>GCF_900187365.1</v>
      </c>
      <c r="H72" t="s">
        <v>1531</v>
      </c>
      <c r="I72" t="s">
        <v>1635</v>
      </c>
      <c r="J72" t="s">
        <v>1525</v>
      </c>
      <c r="K72">
        <v>2724679731</v>
      </c>
      <c r="L72" t="s">
        <v>1526</v>
      </c>
      <c r="M72" t="s">
        <v>1527</v>
      </c>
      <c r="N72" t="s">
        <v>1474</v>
      </c>
    </row>
    <row r="73" spans="1:16">
      <c r="A73" t="s">
        <v>304</v>
      </c>
      <c r="B73" s="4" t="s">
        <v>1269</v>
      </c>
      <c r="C73" s="4" t="s">
        <v>1439</v>
      </c>
      <c r="D73">
        <v>163</v>
      </c>
      <c r="F73" t="str">
        <f t="shared" si="1"/>
        <v>GCF_014197735.1</v>
      </c>
      <c r="H73" t="s">
        <v>1531</v>
      </c>
      <c r="I73" t="s">
        <v>1636</v>
      </c>
      <c r="J73" t="s">
        <v>1637</v>
      </c>
      <c r="K73" t="s">
        <v>1474</v>
      </c>
    </row>
    <row r="74" spans="1:16">
      <c r="A74" t="s">
        <v>312</v>
      </c>
      <c r="B74" s="4" t="s">
        <v>1271</v>
      </c>
      <c r="C74" s="4" t="s">
        <v>1442</v>
      </c>
      <c r="D74">
        <v>164</v>
      </c>
      <c r="F74" t="str">
        <f t="shared" si="1"/>
        <v>GCF_014645695.1</v>
      </c>
      <c r="H74" t="s">
        <v>1531</v>
      </c>
      <c r="I74" t="s">
        <v>1638</v>
      </c>
      <c r="J74" t="s">
        <v>1639</v>
      </c>
      <c r="K74" t="s">
        <v>1474</v>
      </c>
    </row>
    <row r="75" spans="1:16">
      <c r="A75" t="s">
        <v>315</v>
      </c>
      <c r="B75" s="4" t="s">
        <v>1272</v>
      </c>
      <c r="C75" s="4" t="s">
        <v>1441</v>
      </c>
      <c r="D75">
        <v>165</v>
      </c>
      <c r="F75" t="str">
        <f t="shared" si="1"/>
        <v>GCF_000429045.1</v>
      </c>
      <c r="H75" t="s">
        <v>1531</v>
      </c>
      <c r="I75" t="s">
        <v>1640</v>
      </c>
      <c r="J75" t="s">
        <v>1641</v>
      </c>
      <c r="K75" t="s">
        <v>1474</v>
      </c>
    </row>
    <row r="76" spans="1:16">
      <c r="A76" t="s">
        <v>318</v>
      </c>
      <c r="B76" s="4" t="s">
        <v>1273</v>
      </c>
      <c r="C76" s="4" t="s">
        <v>1443</v>
      </c>
      <c r="D76">
        <v>166</v>
      </c>
      <c r="F76" t="str">
        <f t="shared" si="1"/>
        <v>GCF_008386575.1</v>
      </c>
      <c r="H76" t="s">
        <v>1531</v>
      </c>
      <c r="I76" t="s">
        <v>1642</v>
      </c>
      <c r="J76" t="s">
        <v>1643</v>
      </c>
      <c r="K76" t="s">
        <v>1474</v>
      </c>
    </row>
    <row r="77" spans="1:16">
      <c r="A77" t="s">
        <v>258</v>
      </c>
      <c r="B77" s="4" t="s">
        <v>1254</v>
      </c>
      <c r="C77" s="4" t="s">
        <v>1423</v>
      </c>
      <c r="D77">
        <v>167</v>
      </c>
      <c r="F77" t="str">
        <f t="shared" si="1"/>
        <v>GCA_027923385.1</v>
      </c>
      <c r="H77" t="s">
        <v>1471</v>
      </c>
      <c r="I77" t="s">
        <v>1644</v>
      </c>
      <c r="J77" t="s">
        <v>1645</v>
      </c>
      <c r="K77" t="s">
        <v>1474</v>
      </c>
    </row>
    <row r="78" spans="1:16">
      <c r="A78" t="s">
        <v>288</v>
      </c>
      <c r="B78" s="4" t="s">
        <v>1264</v>
      </c>
      <c r="C78" s="4" t="s">
        <v>1381</v>
      </c>
      <c r="D78">
        <v>168</v>
      </c>
      <c r="F78" t="s">
        <v>1832</v>
      </c>
      <c r="H78" t="s">
        <v>20</v>
      </c>
      <c r="I78" t="s">
        <v>1000</v>
      </c>
      <c r="J78" t="s">
        <v>1062</v>
      </c>
      <c r="K78" t="s">
        <v>1063</v>
      </c>
      <c r="L78" t="s">
        <v>1001</v>
      </c>
      <c r="M78" t="s">
        <v>1062</v>
      </c>
      <c r="N78" t="s">
        <v>1063</v>
      </c>
      <c r="O78" t="s">
        <v>886</v>
      </c>
      <c r="P78" t="s">
        <v>1646</v>
      </c>
    </row>
    <row r="79" spans="1:16">
      <c r="A79" t="s">
        <v>291</v>
      </c>
      <c r="B79" s="4" t="s">
        <v>1265</v>
      </c>
      <c r="C79" s="4" t="s">
        <v>1380</v>
      </c>
      <c r="D79">
        <v>169</v>
      </c>
      <c r="F79" t="s">
        <v>1833</v>
      </c>
      <c r="H79" t="s">
        <v>20</v>
      </c>
      <c r="I79" t="s">
        <v>1000</v>
      </c>
      <c r="J79" t="s">
        <v>1062</v>
      </c>
      <c r="K79" t="s">
        <v>1065</v>
      </c>
      <c r="L79" t="s">
        <v>1001</v>
      </c>
      <c r="M79" t="s">
        <v>1062</v>
      </c>
      <c r="N79" t="s">
        <v>1065</v>
      </c>
      <c r="O79" t="s">
        <v>886</v>
      </c>
      <c r="P79" t="s">
        <v>1646</v>
      </c>
    </row>
    <row r="80" spans="1:16">
      <c r="A80" t="s">
        <v>348</v>
      </c>
      <c r="B80" s="4" t="s">
        <v>1282</v>
      </c>
      <c r="C80" s="5" t="s">
        <v>349</v>
      </c>
      <c r="D80">
        <v>17</v>
      </c>
      <c r="F80" t="str">
        <f t="shared" ref="F80:F92" si="2">CONCATENATE(H80,"_",I80)</f>
        <v>GCA_964243135.1</v>
      </c>
      <c r="H80" t="s">
        <v>1471</v>
      </c>
      <c r="I80" t="s">
        <v>1647</v>
      </c>
      <c r="J80" t="s">
        <v>1520</v>
      </c>
      <c r="K80" t="s">
        <v>1630</v>
      </c>
      <c r="L80" t="s">
        <v>1522</v>
      </c>
      <c r="M80" t="s">
        <v>1648</v>
      </c>
      <c r="N80" t="s">
        <v>1474</v>
      </c>
    </row>
    <row r="81" spans="1:14">
      <c r="A81" t="s">
        <v>293</v>
      </c>
      <c r="B81" s="4" t="s">
        <v>1266</v>
      </c>
      <c r="C81" s="4" t="s">
        <v>1437</v>
      </c>
      <c r="D81">
        <v>170</v>
      </c>
      <c r="F81" t="str">
        <f t="shared" si="2"/>
        <v>GCA_008641065.1</v>
      </c>
      <c r="H81" t="s">
        <v>1471</v>
      </c>
      <c r="I81" t="s">
        <v>1649</v>
      </c>
      <c r="J81" t="s">
        <v>1650</v>
      </c>
      <c r="K81" t="s">
        <v>1474</v>
      </c>
    </row>
    <row r="82" spans="1:14">
      <c r="A82" t="s">
        <v>381</v>
      </c>
      <c r="B82" s="4" t="s">
        <v>1293</v>
      </c>
      <c r="C82" s="5" t="s">
        <v>382</v>
      </c>
      <c r="D82">
        <v>18</v>
      </c>
      <c r="F82" t="str">
        <f t="shared" si="2"/>
        <v>GCA_964243405.1</v>
      </c>
      <c r="H82" t="s">
        <v>1471</v>
      </c>
      <c r="I82" t="s">
        <v>1651</v>
      </c>
      <c r="J82" t="s">
        <v>1520</v>
      </c>
      <c r="K82" t="s">
        <v>1652</v>
      </c>
      <c r="L82" t="s">
        <v>1522</v>
      </c>
      <c r="M82" t="s">
        <v>1573</v>
      </c>
      <c r="N82" t="s">
        <v>1474</v>
      </c>
    </row>
    <row r="83" spans="1:14">
      <c r="A83" t="s">
        <v>351</v>
      </c>
      <c r="B83" s="4" t="s">
        <v>1283</v>
      </c>
      <c r="C83" s="5" t="s">
        <v>352</v>
      </c>
      <c r="D83">
        <v>19</v>
      </c>
      <c r="F83" t="str">
        <f t="shared" si="2"/>
        <v>GCA_964244255.1</v>
      </c>
      <c r="H83" t="s">
        <v>1471</v>
      </c>
      <c r="I83" t="s">
        <v>1653</v>
      </c>
      <c r="J83" t="s">
        <v>1571</v>
      </c>
      <c r="K83" t="s">
        <v>1654</v>
      </c>
      <c r="L83" t="s">
        <v>1522</v>
      </c>
      <c r="M83" t="s">
        <v>1655</v>
      </c>
      <c r="N83" t="s">
        <v>1474</v>
      </c>
    </row>
    <row r="84" spans="1:14">
      <c r="A84" t="s">
        <v>141</v>
      </c>
      <c r="B84" s="4" t="s">
        <v>1218</v>
      </c>
      <c r="C84" s="4" t="s">
        <v>1409</v>
      </c>
      <c r="D84">
        <v>2</v>
      </c>
      <c r="F84" t="str">
        <f t="shared" si="2"/>
        <v>GCA_004137085.1</v>
      </c>
      <c r="H84" t="s">
        <v>1471</v>
      </c>
      <c r="I84" t="s">
        <v>1656</v>
      </c>
      <c r="J84" t="s">
        <v>1657</v>
      </c>
      <c r="K84" t="s">
        <v>1474</v>
      </c>
    </row>
    <row r="85" spans="1:14">
      <c r="A85" t="s">
        <v>384</v>
      </c>
      <c r="B85" s="4" t="s">
        <v>1294</v>
      </c>
      <c r="C85" s="5" t="s">
        <v>385</v>
      </c>
      <c r="D85">
        <v>20</v>
      </c>
      <c r="F85" t="str">
        <f t="shared" si="2"/>
        <v>GCA_964245085.1</v>
      </c>
      <c r="H85" t="s">
        <v>1471</v>
      </c>
      <c r="I85" t="s">
        <v>1658</v>
      </c>
      <c r="J85" t="s">
        <v>1571</v>
      </c>
      <c r="K85" t="s">
        <v>1659</v>
      </c>
      <c r="L85" t="s">
        <v>1522</v>
      </c>
      <c r="M85" t="s">
        <v>1660</v>
      </c>
      <c r="N85" t="s">
        <v>1474</v>
      </c>
    </row>
    <row r="86" spans="1:14">
      <c r="A86" t="s">
        <v>354</v>
      </c>
      <c r="B86" s="4" t="s">
        <v>1284</v>
      </c>
      <c r="C86" s="5" t="s">
        <v>355</v>
      </c>
      <c r="D86">
        <v>21</v>
      </c>
      <c r="F86" t="str">
        <f t="shared" si="2"/>
        <v>GCA_964245215.1</v>
      </c>
      <c r="H86" t="s">
        <v>1471</v>
      </c>
      <c r="I86" t="s">
        <v>1661</v>
      </c>
      <c r="J86" t="s">
        <v>1520</v>
      </c>
      <c r="K86" t="s">
        <v>1652</v>
      </c>
      <c r="L86" t="s">
        <v>1522</v>
      </c>
      <c r="M86" t="s">
        <v>1602</v>
      </c>
      <c r="N86" t="s">
        <v>1474</v>
      </c>
    </row>
    <row r="87" spans="1:14">
      <c r="A87" t="s">
        <v>387</v>
      </c>
      <c r="B87" s="4" t="s">
        <v>1295</v>
      </c>
      <c r="C87" s="5" t="s">
        <v>388</v>
      </c>
      <c r="D87">
        <v>22</v>
      </c>
      <c r="F87" t="str">
        <f t="shared" si="2"/>
        <v>GCA_964245915.1</v>
      </c>
      <c r="H87" t="s">
        <v>1471</v>
      </c>
      <c r="I87" t="s">
        <v>1662</v>
      </c>
      <c r="J87" t="s">
        <v>1571</v>
      </c>
      <c r="K87" t="s">
        <v>1654</v>
      </c>
      <c r="L87" t="s">
        <v>1522</v>
      </c>
      <c r="M87" t="s">
        <v>1573</v>
      </c>
      <c r="N87" t="s">
        <v>1474</v>
      </c>
    </row>
    <row r="88" spans="1:14">
      <c r="A88" t="s">
        <v>390</v>
      </c>
      <c r="B88" s="4" t="s">
        <v>1296</v>
      </c>
      <c r="C88" s="5" t="s">
        <v>391</v>
      </c>
      <c r="D88">
        <v>23</v>
      </c>
      <c r="F88" t="str">
        <f t="shared" si="2"/>
        <v>GCA_964246815.1</v>
      </c>
      <c r="H88" t="s">
        <v>1471</v>
      </c>
      <c r="I88" t="s">
        <v>1663</v>
      </c>
      <c r="J88" t="s">
        <v>1571</v>
      </c>
      <c r="K88" t="s">
        <v>1664</v>
      </c>
      <c r="L88" t="s">
        <v>1522</v>
      </c>
      <c r="M88" t="s">
        <v>1660</v>
      </c>
      <c r="N88" t="s">
        <v>1474</v>
      </c>
    </row>
    <row r="89" spans="1:14">
      <c r="A89" t="s">
        <v>393</v>
      </c>
      <c r="B89" s="4" t="s">
        <v>1297</v>
      </c>
      <c r="C89" s="5" t="s">
        <v>394</v>
      </c>
      <c r="D89">
        <v>24</v>
      </c>
      <c r="F89" t="str">
        <f t="shared" si="2"/>
        <v>GCA_964247575.1</v>
      </c>
      <c r="H89" t="s">
        <v>1471</v>
      </c>
      <c r="I89" t="s">
        <v>1665</v>
      </c>
      <c r="J89" t="s">
        <v>1520</v>
      </c>
      <c r="K89" t="s">
        <v>1666</v>
      </c>
      <c r="L89" t="s">
        <v>1522</v>
      </c>
      <c r="M89" t="s">
        <v>1667</v>
      </c>
      <c r="N89" t="s">
        <v>1474</v>
      </c>
    </row>
    <row r="90" spans="1:14">
      <c r="A90" t="s">
        <v>357</v>
      </c>
      <c r="B90" s="4" t="s">
        <v>1285</v>
      </c>
      <c r="C90" s="5" t="s">
        <v>358</v>
      </c>
      <c r="D90">
        <v>25</v>
      </c>
      <c r="F90" t="str">
        <f t="shared" si="2"/>
        <v>GCA_964249275.1</v>
      </c>
      <c r="H90" t="s">
        <v>1471</v>
      </c>
      <c r="I90" t="s">
        <v>1668</v>
      </c>
      <c r="J90" t="s">
        <v>1571</v>
      </c>
      <c r="K90" t="s">
        <v>1669</v>
      </c>
      <c r="L90" t="s">
        <v>1522</v>
      </c>
      <c r="M90" t="s">
        <v>1523</v>
      </c>
      <c r="N90" t="s">
        <v>1474</v>
      </c>
    </row>
    <row r="91" spans="1:14">
      <c r="A91" t="s">
        <v>396</v>
      </c>
      <c r="B91" s="4" t="s">
        <v>1298</v>
      </c>
      <c r="C91" s="5" t="s">
        <v>397</v>
      </c>
      <c r="D91">
        <v>26</v>
      </c>
      <c r="F91" t="str">
        <f t="shared" si="2"/>
        <v>GCA_964252065.1</v>
      </c>
      <c r="H91" t="s">
        <v>1471</v>
      </c>
      <c r="I91" t="s">
        <v>1670</v>
      </c>
      <c r="J91" t="s">
        <v>1571</v>
      </c>
      <c r="K91" t="s">
        <v>1572</v>
      </c>
      <c r="L91" t="s">
        <v>1522</v>
      </c>
      <c r="M91" t="s">
        <v>1671</v>
      </c>
      <c r="N91" t="s">
        <v>1474</v>
      </c>
    </row>
    <row r="92" spans="1:14">
      <c r="A92" t="s">
        <v>360</v>
      </c>
      <c r="B92" s="4" t="s">
        <v>1286</v>
      </c>
      <c r="C92" s="5" t="s">
        <v>361</v>
      </c>
      <c r="D92">
        <v>27</v>
      </c>
      <c r="F92" t="str">
        <f t="shared" si="2"/>
        <v>GCA_964252585.1</v>
      </c>
      <c r="H92" t="s">
        <v>1471</v>
      </c>
      <c r="I92" t="s">
        <v>1672</v>
      </c>
      <c r="J92" t="s">
        <v>1571</v>
      </c>
      <c r="K92" t="s">
        <v>1673</v>
      </c>
      <c r="L92" t="s">
        <v>1522</v>
      </c>
      <c r="M92" t="s">
        <v>1523</v>
      </c>
      <c r="N92" t="s">
        <v>1474</v>
      </c>
    </row>
    <row r="93" spans="1:14">
      <c r="A93" t="s">
        <v>452</v>
      </c>
      <c r="B93" s="8" t="s">
        <v>1321</v>
      </c>
      <c r="C93" s="8"/>
      <c r="D93">
        <v>28</v>
      </c>
      <c r="H93" s="4" t="s">
        <v>1674</v>
      </c>
      <c r="I93" t="s">
        <v>1675</v>
      </c>
    </row>
    <row r="94" spans="1:14">
      <c r="A94" t="s">
        <v>363</v>
      </c>
      <c r="B94" s="8" t="s">
        <v>1287</v>
      </c>
      <c r="C94" s="8"/>
      <c r="D94">
        <v>29</v>
      </c>
      <c r="H94" s="4" t="s">
        <v>1674</v>
      </c>
      <c r="I94" t="s">
        <v>1676</v>
      </c>
    </row>
    <row r="95" spans="1:14">
      <c r="A95" t="s">
        <v>136</v>
      </c>
      <c r="B95" s="4" t="s">
        <v>1217</v>
      </c>
      <c r="C95" s="4" t="s">
        <v>1408</v>
      </c>
      <c r="D95">
        <v>3</v>
      </c>
      <c r="F95" t="str">
        <f t="shared" ref="F95" si="3">CONCATENATE(H95,"_",I95)</f>
        <v>GCA_004137685.1</v>
      </c>
      <c r="H95" t="s">
        <v>1471</v>
      </c>
      <c r="I95" t="s">
        <v>1677</v>
      </c>
      <c r="J95" t="s">
        <v>1678</v>
      </c>
      <c r="K95" t="s">
        <v>1474</v>
      </c>
    </row>
    <row r="96" spans="1:14">
      <c r="A96" t="s">
        <v>321</v>
      </c>
      <c r="B96" s="8" t="s">
        <v>1274</v>
      </c>
      <c r="C96" s="8"/>
      <c r="D96">
        <v>30</v>
      </c>
      <c r="H96" s="4" t="s">
        <v>1674</v>
      </c>
      <c r="I96" t="s">
        <v>1679</v>
      </c>
    </row>
    <row r="97" spans="1:11">
      <c r="A97" t="s">
        <v>366</v>
      </c>
      <c r="B97" s="8" t="s">
        <v>1288</v>
      </c>
      <c r="C97" s="8"/>
      <c r="D97">
        <v>31</v>
      </c>
      <c r="H97" s="4" t="s">
        <v>1674</v>
      </c>
      <c r="I97" t="s">
        <v>1680</v>
      </c>
    </row>
    <row r="98" spans="1:11">
      <c r="A98" t="s">
        <v>399</v>
      </c>
      <c r="B98" s="8" t="s">
        <v>1299</v>
      </c>
      <c r="C98" s="8"/>
      <c r="D98">
        <v>32</v>
      </c>
      <c r="H98" s="4" t="s">
        <v>1674</v>
      </c>
      <c r="I98" t="s">
        <v>1681</v>
      </c>
    </row>
    <row r="99" spans="1:11">
      <c r="A99" t="s">
        <v>402</v>
      </c>
      <c r="B99" s="8" t="s">
        <v>1300</v>
      </c>
      <c r="C99" s="8"/>
      <c r="D99">
        <v>33</v>
      </c>
      <c r="H99" s="4" t="s">
        <v>1674</v>
      </c>
      <c r="I99" t="s">
        <v>1682</v>
      </c>
    </row>
    <row r="100" spans="1:11">
      <c r="A100" t="s">
        <v>405</v>
      </c>
      <c r="B100" s="8" t="s">
        <v>1301</v>
      </c>
      <c r="C100" s="8"/>
      <c r="D100">
        <v>34</v>
      </c>
      <c r="H100" s="4" t="s">
        <v>1683</v>
      </c>
      <c r="I100" t="s">
        <v>1684</v>
      </c>
    </row>
    <row r="101" spans="1:11">
      <c r="A101" t="s">
        <v>469</v>
      </c>
      <c r="B101" s="8" t="s">
        <v>1327</v>
      </c>
      <c r="C101" s="8"/>
      <c r="D101">
        <v>35</v>
      </c>
      <c r="H101" s="4" t="s">
        <v>1683</v>
      </c>
      <c r="I101" t="s">
        <v>1685</v>
      </c>
    </row>
    <row r="102" spans="1:11">
      <c r="A102" t="s">
        <v>414</v>
      </c>
      <c r="B102" s="8" t="s">
        <v>1304</v>
      </c>
      <c r="C102" s="8"/>
      <c r="D102">
        <v>36</v>
      </c>
      <c r="H102" s="4" t="s">
        <v>1686</v>
      </c>
      <c r="I102" t="s">
        <v>1684</v>
      </c>
    </row>
    <row r="103" spans="1:11">
      <c r="A103" t="s">
        <v>455</v>
      </c>
      <c r="B103" s="8" t="s">
        <v>1322</v>
      </c>
      <c r="C103" s="8"/>
      <c r="D103">
        <v>37</v>
      </c>
      <c r="H103" s="4" t="s">
        <v>1686</v>
      </c>
      <c r="I103" t="s">
        <v>1680</v>
      </c>
    </row>
    <row r="104" spans="1:11">
      <c r="A104" t="s">
        <v>458</v>
      </c>
      <c r="B104" s="8" t="s">
        <v>1323</v>
      </c>
      <c r="C104" s="8"/>
      <c r="D104">
        <v>38</v>
      </c>
      <c r="H104" s="4" t="s">
        <v>1686</v>
      </c>
      <c r="I104" t="s">
        <v>1687</v>
      </c>
    </row>
    <row r="105" spans="1:11">
      <c r="A105" t="s">
        <v>461</v>
      </c>
      <c r="B105" s="8" t="s">
        <v>1324</v>
      </c>
      <c r="C105" s="8"/>
      <c r="D105">
        <v>39</v>
      </c>
      <c r="H105" s="4" t="s">
        <v>1674</v>
      </c>
      <c r="I105" t="s">
        <v>1688</v>
      </c>
    </row>
    <row r="106" spans="1:11">
      <c r="A106" t="s">
        <v>154</v>
      </c>
      <c r="B106" s="4" t="s">
        <v>1221</v>
      </c>
      <c r="C106" s="4" t="s">
        <v>1411</v>
      </c>
      <c r="D106">
        <v>4</v>
      </c>
      <c r="F106" t="str">
        <f t="shared" ref="F106" si="4">CONCATENATE(H106,"_",I106)</f>
        <v>GCA_004323635.1</v>
      </c>
      <c r="H106" t="s">
        <v>1471</v>
      </c>
      <c r="I106" t="s">
        <v>1689</v>
      </c>
      <c r="J106" t="s">
        <v>1690</v>
      </c>
      <c r="K106" t="s">
        <v>1474</v>
      </c>
    </row>
    <row r="107" spans="1:11">
      <c r="A107" t="s">
        <v>417</v>
      </c>
      <c r="B107" s="8" t="s">
        <v>1305</v>
      </c>
      <c r="C107" s="8"/>
      <c r="D107">
        <v>40</v>
      </c>
      <c r="H107" s="4" t="s">
        <v>1674</v>
      </c>
      <c r="I107" t="s">
        <v>1691</v>
      </c>
    </row>
    <row r="108" spans="1:11">
      <c r="A108" t="s">
        <v>472</v>
      </c>
      <c r="B108" s="8" t="s">
        <v>1328</v>
      </c>
      <c r="C108" s="8"/>
      <c r="D108">
        <v>41</v>
      </c>
      <c r="H108" s="4" t="s">
        <v>1674</v>
      </c>
      <c r="I108" t="s">
        <v>1692</v>
      </c>
    </row>
    <row r="109" spans="1:11">
      <c r="A109" t="s">
        <v>369</v>
      </c>
      <c r="B109" s="8" t="s">
        <v>1289</v>
      </c>
      <c r="C109" s="8"/>
      <c r="D109">
        <v>42</v>
      </c>
      <c r="H109" s="4" t="s">
        <v>1674</v>
      </c>
      <c r="I109" t="s">
        <v>1693</v>
      </c>
    </row>
    <row r="110" spans="1:11">
      <c r="A110" t="s">
        <v>408</v>
      </c>
      <c r="B110" s="8" t="s">
        <v>1302</v>
      </c>
      <c r="C110" s="8"/>
      <c r="D110">
        <v>43</v>
      </c>
      <c r="H110" s="4" t="s">
        <v>1694</v>
      </c>
      <c r="I110" t="s">
        <v>1695</v>
      </c>
    </row>
    <row r="111" spans="1:11">
      <c r="A111" t="s">
        <v>475</v>
      </c>
      <c r="B111" s="8" t="s">
        <v>1329</v>
      </c>
      <c r="C111" s="8"/>
      <c r="D111">
        <v>44</v>
      </c>
      <c r="H111" s="4" t="s">
        <v>1694</v>
      </c>
      <c r="I111" t="s">
        <v>1696</v>
      </c>
    </row>
    <row r="112" spans="1:11">
      <c r="A112" t="s">
        <v>478</v>
      </c>
      <c r="B112" s="8" t="s">
        <v>1330</v>
      </c>
      <c r="C112" s="8"/>
      <c r="D112">
        <v>45</v>
      </c>
      <c r="H112" s="4" t="s">
        <v>1697</v>
      </c>
      <c r="I112" t="s">
        <v>1696</v>
      </c>
    </row>
    <row r="113" spans="1:18">
      <c r="A113" t="s">
        <v>464</v>
      </c>
      <c r="B113" s="8" t="s">
        <v>1325</v>
      </c>
      <c r="C113" s="8"/>
      <c r="D113">
        <v>46</v>
      </c>
      <c r="H113" s="4" t="s">
        <v>1686</v>
      </c>
      <c r="I113" t="s">
        <v>1676</v>
      </c>
    </row>
    <row r="114" spans="1:18">
      <c r="A114" t="s">
        <v>481</v>
      </c>
      <c r="B114" s="8" t="s">
        <v>1331</v>
      </c>
      <c r="C114" s="8"/>
      <c r="D114">
        <v>47</v>
      </c>
      <c r="H114" s="4" t="s">
        <v>1686</v>
      </c>
      <c r="I114" t="s">
        <v>1698</v>
      </c>
    </row>
    <row r="115" spans="1:18">
      <c r="A115" t="s">
        <v>326</v>
      </c>
      <c r="B115" s="8" t="s">
        <v>1275</v>
      </c>
      <c r="C115" s="8"/>
      <c r="D115">
        <v>48</v>
      </c>
      <c r="H115" s="4" t="s">
        <v>1686</v>
      </c>
      <c r="I115" t="s">
        <v>1699</v>
      </c>
    </row>
    <row r="116" spans="1:18">
      <c r="A116" t="s">
        <v>411</v>
      </c>
      <c r="B116" s="8" t="s">
        <v>1303</v>
      </c>
      <c r="C116" s="8"/>
      <c r="D116">
        <v>49</v>
      </c>
      <c r="H116" s="4" t="s">
        <v>1686</v>
      </c>
      <c r="I116" t="s">
        <v>1700</v>
      </c>
    </row>
    <row r="117" spans="1:18">
      <c r="A117" t="s">
        <v>157</v>
      </c>
      <c r="B117" s="4" t="s">
        <v>1222</v>
      </c>
      <c r="C117" s="4" t="s">
        <v>1414</v>
      </c>
      <c r="D117">
        <v>5</v>
      </c>
      <c r="F117" t="str">
        <f t="shared" ref="F117:F171" si="5">CONCATENATE(H117,"_",I117)</f>
        <v>GCA_004327155.1</v>
      </c>
      <c r="H117" t="s">
        <v>1471</v>
      </c>
      <c r="I117" t="s">
        <v>1701</v>
      </c>
      <c r="J117" t="s">
        <v>1702</v>
      </c>
      <c r="K117" t="s">
        <v>1474</v>
      </c>
    </row>
    <row r="118" spans="1:18">
      <c r="A118" t="s">
        <v>372</v>
      </c>
      <c r="B118" s="4" t="s">
        <v>1290</v>
      </c>
      <c r="C118" s="5" t="s">
        <v>1103</v>
      </c>
      <c r="D118">
        <v>50</v>
      </c>
      <c r="F118" t="str">
        <f t="shared" si="5"/>
        <v>GCA_964657515.1</v>
      </c>
      <c r="H118" t="s">
        <v>1471</v>
      </c>
      <c r="I118" t="s">
        <v>1703</v>
      </c>
      <c r="J118" t="s">
        <v>1704</v>
      </c>
      <c r="K118" t="s">
        <v>374</v>
      </c>
      <c r="L118" t="s">
        <v>1705</v>
      </c>
      <c r="M118" t="s">
        <v>1706</v>
      </c>
      <c r="N118" t="s">
        <v>1088</v>
      </c>
      <c r="O118" t="s">
        <v>1707</v>
      </c>
      <c r="P118" t="s">
        <v>1708</v>
      </c>
      <c r="Q118">
        <v>13</v>
      </c>
      <c r="R118" t="s">
        <v>1474</v>
      </c>
    </row>
    <row r="119" spans="1:18">
      <c r="A119" t="s">
        <v>420</v>
      </c>
      <c r="B119" s="4" t="s">
        <v>1306</v>
      </c>
      <c r="C119" s="5" t="s">
        <v>1113</v>
      </c>
      <c r="D119">
        <v>51</v>
      </c>
      <c r="F119" t="str">
        <f t="shared" si="5"/>
        <v>GCA_964241925.1</v>
      </c>
      <c r="H119" t="s">
        <v>1471</v>
      </c>
      <c r="I119" t="s">
        <v>1709</v>
      </c>
      <c r="J119" t="s">
        <v>1571</v>
      </c>
      <c r="K119" t="s">
        <v>1710</v>
      </c>
      <c r="L119" t="s">
        <v>1522</v>
      </c>
      <c r="M119" t="s">
        <v>1671</v>
      </c>
      <c r="N119" t="s">
        <v>1474</v>
      </c>
    </row>
    <row r="120" spans="1:18">
      <c r="A120" t="s">
        <v>423</v>
      </c>
      <c r="B120" s="4" t="s">
        <v>1307</v>
      </c>
      <c r="C120" s="5" t="s">
        <v>1115</v>
      </c>
      <c r="D120">
        <v>52</v>
      </c>
      <c r="F120" t="str">
        <f t="shared" si="5"/>
        <v>GCA_964242715.1</v>
      </c>
      <c r="H120" t="s">
        <v>1471</v>
      </c>
      <c r="I120" t="s">
        <v>1711</v>
      </c>
      <c r="J120" t="s">
        <v>1520</v>
      </c>
      <c r="K120" t="s">
        <v>1712</v>
      </c>
      <c r="L120" t="s">
        <v>1522</v>
      </c>
      <c r="M120" t="s">
        <v>1713</v>
      </c>
      <c r="N120" t="s">
        <v>1474</v>
      </c>
    </row>
    <row r="121" spans="1:18">
      <c r="A121" t="s">
        <v>425</v>
      </c>
      <c r="B121" s="4" t="s">
        <v>1308</v>
      </c>
      <c r="C121" s="5" t="s">
        <v>1117</v>
      </c>
      <c r="D121">
        <v>53</v>
      </c>
      <c r="F121" t="str">
        <f t="shared" si="5"/>
        <v>GCA_964244795.1</v>
      </c>
      <c r="H121" t="s">
        <v>1471</v>
      </c>
      <c r="I121" t="s">
        <v>1714</v>
      </c>
      <c r="J121" t="s">
        <v>1571</v>
      </c>
      <c r="K121" t="s">
        <v>1715</v>
      </c>
      <c r="L121" t="s">
        <v>1522</v>
      </c>
      <c r="M121" t="s">
        <v>1716</v>
      </c>
      <c r="N121" t="s">
        <v>1474</v>
      </c>
    </row>
    <row r="122" spans="1:18">
      <c r="A122" t="s">
        <v>427</v>
      </c>
      <c r="B122" s="4" t="s">
        <v>1309</v>
      </c>
      <c r="C122" s="5" t="s">
        <v>1119</v>
      </c>
      <c r="D122">
        <v>54</v>
      </c>
      <c r="F122" t="str">
        <f t="shared" si="5"/>
        <v>GCA_964245795.1</v>
      </c>
      <c r="H122" t="s">
        <v>1471</v>
      </c>
      <c r="I122" t="s">
        <v>1717</v>
      </c>
      <c r="J122" t="s">
        <v>1571</v>
      </c>
      <c r="K122" t="s">
        <v>1718</v>
      </c>
      <c r="L122" t="s">
        <v>1522</v>
      </c>
      <c r="M122" t="s">
        <v>1655</v>
      </c>
      <c r="N122" t="s">
        <v>1474</v>
      </c>
    </row>
    <row r="123" spans="1:18">
      <c r="A123" t="s">
        <v>429</v>
      </c>
      <c r="B123" s="4" t="s">
        <v>1310</v>
      </c>
      <c r="C123" s="5" t="s">
        <v>1121</v>
      </c>
      <c r="D123">
        <v>55</v>
      </c>
      <c r="F123" t="str">
        <f t="shared" si="5"/>
        <v>GCA_964250725.1</v>
      </c>
      <c r="H123" t="s">
        <v>1471</v>
      </c>
      <c r="I123" t="s">
        <v>1719</v>
      </c>
      <c r="J123" t="s">
        <v>1571</v>
      </c>
      <c r="K123" t="s">
        <v>1572</v>
      </c>
      <c r="L123" t="s">
        <v>1522</v>
      </c>
      <c r="M123" t="s">
        <v>1546</v>
      </c>
      <c r="N123" t="s">
        <v>1474</v>
      </c>
    </row>
    <row r="124" spans="1:18">
      <c r="A124" t="s">
        <v>431</v>
      </c>
      <c r="B124" s="4" t="s">
        <v>1311</v>
      </c>
      <c r="C124" s="5" t="s">
        <v>1123</v>
      </c>
      <c r="D124">
        <v>56</v>
      </c>
      <c r="F124" t="str">
        <f t="shared" si="5"/>
        <v>GCA_964251455.1</v>
      </c>
      <c r="H124" t="s">
        <v>1471</v>
      </c>
      <c r="I124" t="s">
        <v>1720</v>
      </c>
      <c r="J124" t="s">
        <v>1520</v>
      </c>
      <c r="K124" t="s">
        <v>1712</v>
      </c>
      <c r="L124" t="s">
        <v>1522</v>
      </c>
      <c r="M124" t="s">
        <v>1573</v>
      </c>
      <c r="N124" t="s">
        <v>1474</v>
      </c>
    </row>
    <row r="125" spans="1:18">
      <c r="A125" t="s">
        <v>433</v>
      </c>
      <c r="B125" s="4" t="s">
        <v>1312</v>
      </c>
      <c r="C125" s="5" t="s">
        <v>1126</v>
      </c>
      <c r="D125">
        <v>57</v>
      </c>
      <c r="F125" t="str">
        <f t="shared" si="5"/>
        <v>GCA_964242245.1</v>
      </c>
      <c r="H125" t="s">
        <v>1471</v>
      </c>
      <c r="I125" t="s">
        <v>1721</v>
      </c>
      <c r="J125" t="s">
        <v>1571</v>
      </c>
      <c r="K125" t="s">
        <v>1572</v>
      </c>
      <c r="L125" t="s">
        <v>1522</v>
      </c>
      <c r="M125" t="s">
        <v>1667</v>
      </c>
      <c r="N125" t="s">
        <v>1474</v>
      </c>
    </row>
    <row r="126" spans="1:18">
      <c r="A126" t="s">
        <v>436</v>
      </c>
      <c r="B126" s="4" t="s">
        <v>1313</v>
      </c>
      <c r="C126" s="5" t="s">
        <v>1128</v>
      </c>
      <c r="D126">
        <v>58</v>
      </c>
      <c r="F126" t="str">
        <f t="shared" si="5"/>
        <v>GCA_964242725.1</v>
      </c>
      <c r="H126" t="s">
        <v>1471</v>
      </c>
      <c r="I126" t="s">
        <v>1722</v>
      </c>
      <c r="J126" t="s">
        <v>1520</v>
      </c>
      <c r="K126" t="s">
        <v>1666</v>
      </c>
      <c r="L126" t="s">
        <v>1522</v>
      </c>
      <c r="M126" t="s">
        <v>1648</v>
      </c>
      <c r="N126" t="s">
        <v>1474</v>
      </c>
    </row>
    <row r="127" spans="1:18">
      <c r="A127" t="s">
        <v>438</v>
      </c>
      <c r="B127" s="4" t="s">
        <v>1314</v>
      </c>
      <c r="C127" s="5" t="s">
        <v>1130</v>
      </c>
      <c r="D127">
        <v>59</v>
      </c>
      <c r="F127" t="str">
        <f t="shared" si="5"/>
        <v>GCA_964244095.1</v>
      </c>
      <c r="H127" t="s">
        <v>1471</v>
      </c>
      <c r="I127" t="s">
        <v>1723</v>
      </c>
      <c r="J127" t="s">
        <v>1571</v>
      </c>
      <c r="K127" t="s">
        <v>1724</v>
      </c>
      <c r="L127" t="s">
        <v>1522</v>
      </c>
      <c r="M127" t="s">
        <v>1725</v>
      </c>
      <c r="N127" t="s">
        <v>1474</v>
      </c>
    </row>
    <row r="128" spans="1:18">
      <c r="A128" t="s">
        <v>130</v>
      </c>
      <c r="B128" s="4" t="s">
        <v>1216</v>
      </c>
      <c r="C128" s="4" t="s">
        <v>1407</v>
      </c>
      <c r="D128">
        <v>6</v>
      </c>
      <c r="F128" t="str">
        <f t="shared" si="5"/>
        <v>GCA_021730615.1</v>
      </c>
      <c r="H128" t="s">
        <v>1471</v>
      </c>
      <c r="I128" t="s">
        <v>1726</v>
      </c>
      <c r="J128" t="s">
        <v>1727</v>
      </c>
      <c r="K128" t="s">
        <v>1474</v>
      </c>
    </row>
    <row r="129" spans="1:18">
      <c r="A129" t="s">
        <v>440</v>
      </c>
      <c r="B129" s="4" t="s">
        <v>1315</v>
      </c>
      <c r="C129" s="5" t="s">
        <v>1132</v>
      </c>
      <c r="D129">
        <v>60</v>
      </c>
      <c r="F129" t="str">
        <f t="shared" si="5"/>
        <v>GCA_964245765.1</v>
      </c>
      <c r="H129" t="s">
        <v>1471</v>
      </c>
      <c r="I129" t="s">
        <v>1728</v>
      </c>
      <c r="J129" t="s">
        <v>1571</v>
      </c>
      <c r="K129" t="s">
        <v>1718</v>
      </c>
      <c r="L129" t="s">
        <v>1522</v>
      </c>
      <c r="M129" t="s">
        <v>1660</v>
      </c>
      <c r="N129" t="s">
        <v>1474</v>
      </c>
    </row>
    <row r="130" spans="1:18">
      <c r="A130" t="s">
        <v>442</v>
      </c>
      <c r="B130" s="4" t="s">
        <v>1316</v>
      </c>
      <c r="C130" s="5" t="s">
        <v>1134</v>
      </c>
      <c r="D130">
        <v>61</v>
      </c>
      <c r="F130" t="str">
        <f t="shared" si="5"/>
        <v>GCA_964249385.1</v>
      </c>
      <c r="H130" t="s">
        <v>1471</v>
      </c>
      <c r="I130" t="s">
        <v>1729</v>
      </c>
      <c r="J130" t="s">
        <v>1571</v>
      </c>
      <c r="K130" t="s">
        <v>1730</v>
      </c>
      <c r="L130" t="s">
        <v>1522</v>
      </c>
      <c r="M130" t="s">
        <v>1523</v>
      </c>
      <c r="N130" t="s">
        <v>1474</v>
      </c>
    </row>
    <row r="131" spans="1:18">
      <c r="A131" t="s">
        <v>444</v>
      </c>
      <c r="B131" s="4" t="s">
        <v>1317</v>
      </c>
      <c r="C131" s="5" t="s">
        <v>1136</v>
      </c>
      <c r="D131">
        <v>62</v>
      </c>
      <c r="F131" t="str">
        <f t="shared" si="5"/>
        <v>GCA_964251405.1</v>
      </c>
      <c r="H131" t="s">
        <v>1471</v>
      </c>
      <c r="I131" t="s">
        <v>1731</v>
      </c>
      <c r="J131" t="s">
        <v>1520</v>
      </c>
      <c r="K131" t="s">
        <v>1712</v>
      </c>
      <c r="L131" t="s">
        <v>1522</v>
      </c>
      <c r="M131" t="s">
        <v>1732</v>
      </c>
      <c r="N131" t="s">
        <v>1474</v>
      </c>
    </row>
    <row r="132" spans="1:18">
      <c r="A132" t="s">
        <v>467</v>
      </c>
      <c r="B132" s="4" t="s">
        <v>1326</v>
      </c>
      <c r="C132" s="5" t="s">
        <v>1147</v>
      </c>
      <c r="D132">
        <v>63</v>
      </c>
      <c r="F132" t="str">
        <f t="shared" si="5"/>
        <v>GCA_964657435.1</v>
      </c>
      <c r="H132" t="s">
        <v>1471</v>
      </c>
      <c r="I132" t="s">
        <v>1733</v>
      </c>
      <c r="J132" t="s">
        <v>1704</v>
      </c>
      <c r="K132" t="s">
        <v>374</v>
      </c>
      <c r="L132" t="s">
        <v>1705</v>
      </c>
      <c r="M132" t="s">
        <v>1706</v>
      </c>
      <c r="N132" t="s">
        <v>1088</v>
      </c>
      <c r="O132" t="s">
        <v>1707</v>
      </c>
      <c r="P132" t="s">
        <v>1734</v>
      </c>
      <c r="Q132">
        <v>3</v>
      </c>
      <c r="R132" t="s">
        <v>1474</v>
      </c>
    </row>
    <row r="133" spans="1:18">
      <c r="A133" t="s">
        <v>484</v>
      </c>
      <c r="B133" s="4" t="s">
        <v>1332</v>
      </c>
      <c r="C133" s="5" t="s">
        <v>1149</v>
      </c>
      <c r="D133">
        <v>64</v>
      </c>
      <c r="F133" t="str">
        <f t="shared" si="5"/>
        <v>GCA_964235705.1</v>
      </c>
      <c r="H133" t="s">
        <v>1471</v>
      </c>
      <c r="I133" t="s">
        <v>1735</v>
      </c>
      <c r="J133" t="s">
        <v>1520</v>
      </c>
      <c r="K133" t="s">
        <v>1736</v>
      </c>
      <c r="L133" t="s">
        <v>1522</v>
      </c>
      <c r="M133" t="s">
        <v>1660</v>
      </c>
      <c r="N133" t="s">
        <v>1474</v>
      </c>
    </row>
    <row r="134" spans="1:18">
      <c r="A134" t="s">
        <v>486</v>
      </c>
      <c r="B134" s="4" t="s">
        <v>1333</v>
      </c>
      <c r="C134" s="5" t="s">
        <v>1151</v>
      </c>
      <c r="D134">
        <v>65</v>
      </c>
      <c r="F134" t="str">
        <f t="shared" si="5"/>
        <v>GCA_964235845.1</v>
      </c>
      <c r="H134" t="s">
        <v>1471</v>
      </c>
      <c r="I134" t="s">
        <v>1737</v>
      </c>
      <c r="J134" t="s">
        <v>1520</v>
      </c>
      <c r="K134" t="s">
        <v>1738</v>
      </c>
      <c r="L134" t="s">
        <v>1522</v>
      </c>
      <c r="M134" t="s">
        <v>1739</v>
      </c>
      <c r="N134" t="s">
        <v>1474</v>
      </c>
    </row>
    <row r="135" spans="1:18">
      <c r="A135" t="s">
        <v>488</v>
      </c>
      <c r="B135" s="4" t="s">
        <v>1334</v>
      </c>
      <c r="C135" s="5" t="s">
        <v>1153</v>
      </c>
      <c r="D135">
        <v>66</v>
      </c>
      <c r="F135" t="str">
        <f t="shared" si="5"/>
        <v>GCA_964243415.1</v>
      </c>
      <c r="H135" t="s">
        <v>1471</v>
      </c>
      <c r="I135" t="s">
        <v>1740</v>
      </c>
      <c r="J135" t="s">
        <v>1520</v>
      </c>
      <c r="K135" t="s">
        <v>1652</v>
      </c>
      <c r="L135" t="s">
        <v>1522</v>
      </c>
      <c r="M135" t="s">
        <v>1741</v>
      </c>
      <c r="N135" t="s">
        <v>1474</v>
      </c>
    </row>
    <row r="136" spans="1:18">
      <c r="A136" t="s">
        <v>490</v>
      </c>
      <c r="B136" s="4" t="s">
        <v>1335</v>
      </c>
      <c r="C136" s="5" t="s">
        <v>1155</v>
      </c>
      <c r="D136">
        <v>67</v>
      </c>
      <c r="F136" t="str">
        <f t="shared" si="5"/>
        <v>GCA_964243425.1</v>
      </c>
      <c r="H136" t="s">
        <v>1471</v>
      </c>
      <c r="I136" t="s">
        <v>1742</v>
      </c>
      <c r="J136" t="s">
        <v>1520</v>
      </c>
      <c r="K136" t="s">
        <v>1652</v>
      </c>
      <c r="L136" t="s">
        <v>1522</v>
      </c>
      <c r="M136" t="s">
        <v>1743</v>
      </c>
      <c r="N136" t="s">
        <v>1474</v>
      </c>
    </row>
    <row r="137" spans="1:18">
      <c r="A137" t="s">
        <v>492</v>
      </c>
      <c r="B137" s="4" t="s">
        <v>1336</v>
      </c>
      <c r="C137" s="5" t="s">
        <v>1157</v>
      </c>
      <c r="D137">
        <v>68</v>
      </c>
      <c r="F137" t="str">
        <f t="shared" si="5"/>
        <v>GCA_964243435.1</v>
      </c>
      <c r="H137" t="s">
        <v>1471</v>
      </c>
      <c r="I137" t="s">
        <v>1744</v>
      </c>
      <c r="J137" t="s">
        <v>1520</v>
      </c>
      <c r="K137" t="s">
        <v>1652</v>
      </c>
      <c r="L137" t="s">
        <v>1522</v>
      </c>
      <c r="M137" t="s">
        <v>1671</v>
      </c>
      <c r="N137" t="s">
        <v>1474</v>
      </c>
    </row>
    <row r="138" spans="1:18">
      <c r="A138" t="s">
        <v>494</v>
      </c>
      <c r="B138" s="4" t="s">
        <v>1337</v>
      </c>
      <c r="C138" s="5" t="s">
        <v>1159</v>
      </c>
      <c r="D138">
        <v>69</v>
      </c>
      <c r="F138" t="str">
        <f t="shared" si="5"/>
        <v>GCA_964244275.1</v>
      </c>
      <c r="H138" t="s">
        <v>1471</v>
      </c>
      <c r="I138" t="s">
        <v>1745</v>
      </c>
      <c r="J138" t="s">
        <v>1571</v>
      </c>
      <c r="K138" t="s">
        <v>1654</v>
      </c>
      <c r="L138" t="s">
        <v>1522</v>
      </c>
      <c r="M138" t="s">
        <v>1546</v>
      </c>
      <c r="N138" t="s">
        <v>1474</v>
      </c>
    </row>
    <row r="139" spans="1:18">
      <c r="A139" t="s">
        <v>159</v>
      </c>
      <c r="B139" s="4" t="s">
        <v>1223</v>
      </c>
      <c r="C139" s="4" t="s">
        <v>1412</v>
      </c>
      <c r="D139">
        <v>7</v>
      </c>
      <c r="F139" t="str">
        <f t="shared" si="5"/>
        <v>GCA_020616535.1</v>
      </c>
      <c r="H139" t="s">
        <v>1471</v>
      </c>
      <c r="I139" t="s">
        <v>1746</v>
      </c>
      <c r="J139" t="s">
        <v>1747</v>
      </c>
      <c r="K139" t="s">
        <v>1474</v>
      </c>
    </row>
    <row r="140" spans="1:18">
      <c r="A140" t="s">
        <v>496</v>
      </c>
      <c r="B140" s="4" t="s">
        <v>1338</v>
      </c>
      <c r="C140" s="5" t="s">
        <v>1161</v>
      </c>
      <c r="D140">
        <v>70</v>
      </c>
      <c r="F140" t="str">
        <f t="shared" si="5"/>
        <v>GCA_964244495.1</v>
      </c>
      <c r="H140" t="s">
        <v>1471</v>
      </c>
      <c r="I140" t="s">
        <v>1748</v>
      </c>
      <c r="J140" t="s">
        <v>1520</v>
      </c>
      <c r="K140" t="s">
        <v>1749</v>
      </c>
      <c r="L140" t="s">
        <v>1522</v>
      </c>
      <c r="M140" t="s">
        <v>1655</v>
      </c>
      <c r="N140" t="s">
        <v>1474</v>
      </c>
    </row>
    <row r="141" spans="1:18">
      <c r="A141" t="s">
        <v>329</v>
      </c>
      <c r="B141" s="4" t="s">
        <v>1276</v>
      </c>
      <c r="C141" s="5" t="s">
        <v>878</v>
      </c>
      <c r="D141">
        <v>71</v>
      </c>
      <c r="F141" t="str">
        <f t="shared" si="5"/>
        <v>GCA_964244905.1</v>
      </c>
      <c r="H141" t="s">
        <v>1471</v>
      </c>
      <c r="I141" t="s">
        <v>1750</v>
      </c>
      <c r="J141" t="s">
        <v>1571</v>
      </c>
      <c r="K141" t="s">
        <v>1751</v>
      </c>
      <c r="L141" t="s">
        <v>1522</v>
      </c>
      <c r="M141" t="s">
        <v>1660</v>
      </c>
      <c r="N141" t="s">
        <v>1474</v>
      </c>
    </row>
    <row r="142" spans="1:18">
      <c r="A142" t="s">
        <v>498</v>
      </c>
      <c r="B142" s="4" t="s">
        <v>1339</v>
      </c>
      <c r="C142" s="5" t="s">
        <v>1163</v>
      </c>
      <c r="D142">
        <v>72</v>
      </c>
      <c r="F142" t="str">
        <f t="shared" si="5"/>
        <v>GCA_964245015.1</v>
      </c>
      <c r="H142" t="s">
        <v>1471</v>
      </c>
      <c r="I142" t="s">
        <v>1752</v>
      </c>
      <c r="J142" t="s">
        <v>1571</v>
      </c>
      <c r="K142" t="s">
        <v>1753</v>
      </c>
      <c r="L142" t="s">
        <v>1522</v>
      </c>
      <c r="M142" t="s">
        <v>1660</v>
      </c>
      <c r="N142" t="s">
        <v>1474</v>
      </c>
    </row>
    <row r="143" spans="1:18">
      <c r="A143" t="s">
        <v>500</v>
      </c>
      <c r="B143" s="4" t="s">
        <v>1340</v>
      </c>
      <c r="C143" s="5" t="s">
        <v>1165</v>
      </c>
      <c r="D143">
        <v>73</v>
      </c>
      <c r="F143" t="str">
        <f t="shared" si="5"/>
        <v>GCA_964246205.1</v>
      </c>
      <c r="H143" t="s">
        <v>1471</v>
      </c>
      <c r="I143" t="s">
        <v>1754</v>
      </c>
      <c r="J143" t="s">
        <v>1571</v>
      </c>
      <c r="K143" t="s">
        <v>1755</v>
      </c>
      <c r="L143" t="s">
        <v>1522</v>
      </c>
      <c r="M143" t="s">
        <v>1660</v>
      </c>
      <c r="N143" t="s">
        <v>1474</v>
      </c>
    </row>
    <row r="144" spans="1:18">
      <c r="A144" t="s">
        <v>502</v>
      </c>
      <c r="B144" s="4" t="s">
        <v>1341</v>
      </c>
      <c r="C144" s="5" t="s">
        <v>1167</v>
      </c>
      <c r="D144">
        <v>74</v>
      </c>
      <c r="F144" t="str">
        <f t="shared" si="5"/>
        <v>GCA_964246855.1</v>
      </c>
      <c r="H144" t="s">
        <v>1471</v>
      </c>
      <c r="I144" t="s">
        <v>1756</v>
      </c>
      <c r="J144" t="s">
        <v>1571</v>
      </c>
      <c r="K144" t="s">
        <v>1757</v>
      </c>
      <c r="L144" t="s">
        <v>1522</v>
      </c>
      <c r="M144" t="s">
        <v>1660</v>
      </c>
      <c r="N144" t="s">
        <v>1474</v>
      </c>
    </row>
    <row r="145" spans="1:18">
      <c r="A145" t="s">
        <v>510</v>
      </c>
      <c r="B145" s="4" t="s">
        <v>1345</v>
      </c>
      <c r="C145" s="5" t="s">
        <v>1175</v>
      </c>
      <c r="D145">
        <v>75</v>
      </c>
      <c r="F145" t="str">
        <f t="shared" si="5"/>
        <v>GCA_964247205.1</v>
      </c>
      <c r="H145" t="s">
        <v>1471</v>
      </c>
      <c r="I145" t="s">
        <v>1758</v>
      </c>
      <c r="J145" t="s">
        <v>1571</v>
      </c>
      <c r="K145" t="s">
        <v>1759</v>
      </c>
      <c r="L145" t="s">
        <v>1522</v>
      </c>
      <c r="M145" t="s">
        <v>1671</v>
      </c>
      <c r="N145" t="s">
        <v>1474</v>
      </c>
    </row>
    <row r="146" spans="1:18">
      <c r="A146" t="s">
        <v>504</v>
      </c>
      <c r="B146" s="4" t="s">
        <v>1342</v>
      </c>
      <c r="C146" s="5" t="s">
        <v>1169</v>
      </c>
      <c r="D146">
        <v>76</v>
      </c>
      <c r="F146" t="str">
        <f t="shared" si="5"/>
        <v>GCA_964247745.1</v>
      </c>
      <c r="H146" t="s">
        <v>1471</v>
      </c>
      <c r="I146" t="s">
        <v>1760</v>
      </c>
      <c r="J146" t="s">
        <v>1520</v>
      </c>
      <c r="K146" t="s">
        <v>1761</v>
      </c>
      <c r="L146" t="s">
        <v>1522</v>
      </c>
      <c r="M146" t="s">
        <v>1741</v>
      </c>
      <c r="N146" t="s">
        <v>1474</v>
      </c>
    </row>
    <row r="147" spans="1:18">
      <c r="A147" t="s">
        <v>506</v>
      </c>
      <c r="B147" s="4" t="s">
        <v>1343</v>
      </c>
      <c r="C147" s="5" t="s">
        <v>1171</v>
      </c>
      <c r="D147">
        <v>77</v>
      </c>
      <c r="F147" t="str">
        <f t="shared" si="5"/>
        <v>GCA_964249355.1</v>
      </c>
      <c r="H147" t="s">
        <v>1471</v>
      </c>
      <c r="I147" t="s">
        <v>1762</v>
      </c>
      <c r="J147" t="s">
        <v>1571</v>
      </c>
      <c r="K147" t="s">
        <v>1763</v>
      </c>
      <c r="L147" t="s">
        <v>1522</v>
      </c>
      <c r="M147" t="s">
        <v>1655</v>
      </c>
      <c r="N147" t="s">
        <v>1474</v>
      </c>
    </row>
    <row r="148" spans="1:18">
      <c r="A148" t="s">
        <v>508</v>
      </c>
      <c r="B148" s="4" t="s">
        <v>1344</v>
      </c>
      <c r="C148" s="5" t="s">
        <v>1173</v>
      </c>
      <c r="D148">
        <v>78</v>
      </c>
      <c r="F148" t="str">
        <f t="shared" si="5"/>
        <v>GCA_964250285.1</v>
      </c>
      <c r="H148" t="s">
        <v>1471</v>
      </c>
      <c r="I148" t="s">
        <v>1764</v>
      </c>
      <c r="J148" t="s">
        <v>1571</v>
      </c>
      <c r="K148" t="s">
        <v>1765</v>
      </c>
      <c r="L148" t="s">
        <v>1522</v>
      </c>
      <c r="M148" t="s">
        <v>1671</v>
      </c>
      <c r="N148" t="s">
        <v>1474</v>
      </c>
    </row>
    <row r="149" spans="1:18">
      <c r="A149" t="s">
        <v>446</v>
      </c>
      <c r="B149" s="4" t="s">
        <v>1318</v>
      </c>
      <c r="C149" s="5" t="s">
        <v>1139</v>
      </c>
      <c r="D149">
        <v>79</v>
      </c>
      <c r="F149" t="str">
        <f t="shared" si="5"/>
        <v>GCA_964657815.1</v>
      </c>
      <c r="H149" t="s">
        <v>1471</v>
      </c>
      <c r="I149" t="s">
        <v>1766</v>
      </c>
      <c r="J149" t="s">
        <v>1704</v>
      </c>
      <c r="K149" t="s">
        <v>374</v>
      </c>
      <c r="L149" t="s">
        <v>1705</v>
      </c>
      <c r="M149" t="s">
        <v>1706</v>
      </c>
      <c r="N149" t="s">
        <v>1088</v>
      </c>
      <c r="O149" t="s">
        <v>1707</v>
      </c>
      <c r="P149" t="s">
        <v>1767</v>
      </c>
      <c r="Q149">
        <v>1</v>
      </c>
      <c r="R149" t="s">
        <v>1474</v>
      </c>
    </row>
    <row r="150" spans="1:18">
      <c r="A150" t="s">
        <v>145</v>
      </c>
      <c r="B150" s="4" t="s">
        <v>1219</v>
      </c>
      <c r="C150" s="4" t="s">
        <v>1410</v>
      </c>
      <c r="D150">
        <v>8</v>
      </c>
      <c r="F150" t="str">
        <f t="shared" si="5"/>
        <v>GCA_026130545.1</v>
      </c>
      <c r="H150" t="s">
        <v>1471</v>
      </c>
      <c r="I150" t="s">
        <v>1768</v>
      </c>
      <c r="J150" t="s">
        <v>1769</v>
      </c>
      <c r="K150" t="s">
        <v>1474</v>
      </c>
    </row>
    <row r="151" spans="1:18">
      <c r="A151" t="s">
        <v>448</v>
      </c>
      <c r="B151" s="4" t="s">
        <v>1319</v>
      </c>
      <c r="C151" s="5" t="s">
        <v>1141</v>
      </c>
      <c r="D151">
        <v>80</v>
      </c>
      <c r="F151" t="str">
        <f t="shared" si="5"/>
        <v>GCA_964658355.1</v>
      </c>
      <c r="H151" t="s">
        <v>1471</v>
      </c>
      <c r="I151" t="s">
        <v>1770</v>
      </c>
      <c r="J151" t="s">
        <v>1704</v>
      </c>
      <c r="K151" t="s">
        <v>374</v>
      </c>
      <c r="L151" t="s">
        <v>1705</v>
      </c>
      <c r="M151" t="s">
        <v>1706</v>
      </c>
      <c r="N151" t="s">
        <v>1088</v>
      </c>
      <c r="O151" t="s">
        <v>1707</v>
      </c>
      <c r="P151" t="s">
        <v>1708</v>
      </c>
      <c r="Q151">
        <v>3</v>
      </c>
      <c r="R151" t="s">
        <v>1474</v>
      </c>
    </row>
    <row r="152" spans="1:18">
      <c r="A152" t="s">
        <v>450</v>
      </c>
      <c r="B152" s="4" t="s">
        <v>1320</v>
      </c>
      <c r="C152" s="5" t="s">
        <v>1144</v>
      </c>
      <c r="D152">
        <v>81</v>
      </c>
      <c r="F152" t="str">
        <f t="shared" si="5"/>
        <v>GCA_964658465.1</v>
      </c>
      <c r="H152" t="s">
        <v>1471</v>
      </c>
      <c r="I152" t="s">
        <v>1771</v>
      </c>
      <c r="J152" t="s">
        <v>1704</v>
      </c>
      <c r="K152" t="s">
        <v>374</v>
      </c>
      <c r="L152" t="s">
        <v>1705</v>
      </c>
      <c r="M152" t="s">
        <v>1706</v>
      </c>
      <c r="N152" t="s">
        <v>1088</v>
      </c>
      <c r="O152" t="s">
        <v>1707</v>
      </c>
      <c r="P152" t="s">
        <v>1708</v>
      </c>
      <c r="Q152">
        <v>4</v>
      </c>
      <c r="R152" t="s">
        <v>1474</v>
      </c>
    </row>
    <row r="153" spans="1:18">
      <c r="A153" t="s">
        <v>285</v>
      </c>
      <c r="B153" s="4" t="s">
        <v>1263</v>
      </c>
      <c r="C153" s="4" t="s">
        <v>1432</v>
      </c>
      <c r="D153">
        <v>82</v>
      </c>
      <c r="F153" t="str">
        <f t="shared" si="5"/>
        <v>GCA_000178815.2</v>
      </c>
      <c r="H153" t="s">
        <v>1471</v>
      </c>
      <c r="I153" t="s">
        <v>1772</v>
      </c>
      <c r="J153" t="s">
        <v>1773</v>
      </c>
      <c r="K153" t="s">
        <v>1474</v>
      </c>
    </row>
    <row r="154" spans="1:18">
      <c r="A154" t="s">
        <v>273</v>
      </c>
      <c r="B154" s="4" t="s">
        <v>1259</v>
      </c>
      <c r="C154" s="4" t="s">
        <v>1429</v>
      </c>
      <c r="D154">
        <v>83</v>
      </c>
      <c r="F154" t="str">
        <f t="shared" si="5"/>
        <v>GCA_000372845.1</v>
      </c>
      <c r="H154" t="s">
        <v>1471</v>
      </c>
      <c r="I154" t="s">
        <v>1774</v>
      </c>
      <c r="J154" t="s">
        <v>1775</v>
      </c>
      <c r="K154" t="s">
        <v>1474</v>
      </c>
    </row>
    <row r="155" spans="1:18">
      <c r="A155" t="s">
        <v>118</v>
      </c>
      <c r="B155" s="4" t="s">
        <v>1212</v>
      </c>
      <c r="C155" s="4" t="s">
        <v>1404</v>
      </c>
      <c r="D155">
        <v>84</v>
      </c>
      <c r="F155" t="str">
        <f t="shared" si="5"/>
        <v>GCA_001418005.1</v>
      </c>
      <c r="H155" t="s">
        <v>1471</v>
      </c>
      <c r="I155" t="s">
        <v>1776</v>
      </c>
      <c r="J155" t="s">
        <v>1777</v>
      </c>
      <c r="K155" t="s">
        <v>1474</v>
      </c>
    </row>
    <row r="156" spans="1:18">
      <c r="A156" t="s">
        <v>87</v>
      </c>
      <c r="B156" s="4" t="s">
        <v>1202</v>
      </c>
      <c r="C156" s="4" t="s">
        <v>1382</v>
      </c>
      <c r="D156">
        <v>85</v>
      </c>
      <c r="F156" t="str">
        <f t="shared" si="5"/>
        <v>GCA_001741865.1</v>
      </c>
      <c r="H156" t="s">
        <v>1471</v>
      </c>
      <c r="I156" t="s">
        <v>1778</v>
      </c>
      <c r="J156" t="s">
        <v>1779</v>
      </c>
      <c r="K156" t="s">
        <v>1474</v>
      </c>
    </row>
    <row r="157" spans="1:18">
      <c r="A157" t="s">
        <v>72</v>
      </c>
      <c r="B157" s="4" t="s">
        <v>1197</v>
      </c>
      <c r="C157" s="4" t="s">
        <v>1393</v>
      </c>
      <c r="D157">
        <v>86</v>
      </c>
      <c r="F157" t="str">
        <f t="shared" si="5"/>
        <v>GCA_002917105.1</v>
      </c>
      <c r="H157" t="s">
        <v>1471</v>
      </c>
      <c r="I157" t="s">
        <v>1780</v>
      </c>
      <c r="J157" t="s">
        <v>1781</v>
      </c>
      <c r="K157" t="s">
        <v>1474</v>
      </c>
    </row>
    <row r="158" spans="1:18">
      <c r="A158" t="s">
        <v>16</v>
      </c>
      <c r="B158" s="4" t="s">
        <v>1179</v>
      </c>
      <c r="C158" s="4" t="s">
        <v>1377</v>
      </c>
      <c r="D158">
        <v>87</v>
      </c>
      <c r="F158" t="str">
        <f t="shared" si="5"/>
        <v>GCA_003004785.1</v>
      </c>
      <c r="H158" t="s">
        <v>1471</v>
      </c>
      <c r="I158" t="s">
        <v>1782</v>
      </c>
      <c r="J158" t="s">
        <v>1783</v>
      </c>
      <c r="K158" t="s">
        <v>1474</v>
      </c>
    </row>
    <row r="159" spans="1:18">
      <c r="A159" t="s">
        <v>282</v>
      </c>
      <c r="B159" s="4" t="s">
        <v>1262</v>
      </c>
      <c r="C159" s="4" t="s">
        <v>1433</v>
      </c>
      <c r="D159">
        <v>88</v>
      </c>
      <c r="F159" t="str">
        <f t="shared" si="5"/>
        <v>GCA_003113265.1</v>
      </c>
      <c r="H159" t="s">
        <v>1471</v>
      </c>
      <c r="I159" t="s">
        <v>1784</v>
      </c>
      <c r="J159" t="s">
        <v>1785</v>
      </c>
      <c r="K159" t="s">
        <v>1474</v>
      </c>
    </row>
    <row r="160" spans="1:18">
      <c r="A160" t="s">
        <v>54</v>
      </c>
      <c r="B160" s="4" t="s">
        <v>1191</v>
      </c>
      <c r="C160" s="4" t="s">
        <v>1394</v>
      </c>
      <c r="D160">
        <v>89</v>
      </c>
      <c r="F160" t="str">
        <f t="shared" si="5"/>
        <v>GCA_003351345.1</v>
      </c>
      <c r="H160" t="s">
        <v>1471</v>
      </c>
      <c r="I160" t="s">
        <v>1786</v>
      </c>
      <c r="J160" t="s">
        <v>1787</v>
      </c>
      <c r="K160" t="s">
        <v>1474</v>
      </c>
    </row>
    <row r="161" spans="1:11">
      <c r="A161" t="s">
        <v>149</v>
      </c>
      <c r="B161" s="4" t="s">
        <v>1220</v>
      </c>
      <c r="C161" s="4" t="s">
        <v>1413</v>
      </c>
      <c r="D161">
        <v>9</v>
      </c>
      <c r="F161" t="str">
        <f t="shared" si="5"/>
        <v>GCA_033947565.1</v>
      </c>
      <c r="H161" t="s">
        <v>1471</v>
      </c>
      <c r="I161" t="s">
        <v>1788</v>
      </c>
      <c r="J161" t="s">
        <v>1789</v>
      </c>
      <c r="K161" t="s">
        <v>1474</v>
      </c>
    </row>
    <row r="162" spans="1:11">
      <c r="A162" t="s">
        <v>264</v>
      </c>
      <c r="B162" s="4" t="s">
        <v>1256</v>
      </c>
      <c r="C162" s="4" t="s">
        <v>1430</v>
      </c>
      <c r="D162">
        <v>90</v>
      </c>
      <c r="F162" t="str">
        <f t="shared" si="5"/>
        <v>GCA_003722355.1</v>
      </c>
      <c r="H162" t="s">
        <v>1471</v>
      </c>
      <c r="I162" t="s">
        <v>1790</v>
      </c>
      <c r="J162" t="s">
        <v>1791</v>
      </c>
      <c r="K162" t="s">
        <v>1474</v>
      </c>
    </row>
    <row r="163" spans="1:11">
      <c r="A163" t="s">
        <v>261</v>
      </c>
      <c r="B163" s="4" t="s">
        <v>1255</v>
      </c>
      <c r="C163" s="4" t="s">
        <v>1424</v>
      </c>
      <c r="D163">
        <v>91</v>
      </c>
      <c r="F163" t="str">
        <f t="shared" si="5"/>
        <v>GCA_004802635.2</v>
      </c>
      <c r="H163" t="s">
        <v>1471</v>
      </c>
      <c r="I163" t="s">
        <v>1792</v>
      </c>
      <c r="J163" t="s">
        <v>1793</v>
      </c>
      <c r="K163" t="s">
        <v>1474</v>
      </c>
    </row>
    <row r="164" spans="1:11">
      <c r="A164" t="s">
        <v>163</v>
      </c>
      <c r="B164" s="4" t="s">
        <v>1224</v>
      </c>
      <c r="C164" s="4" t="s">
        <v>1405</v>
      </c>
      <c r="D164">
        <v>92</v>
      </c>
      <c r="F164" t="str">
        <f t="shared" si="5"/>
        <v>GCA_013044135.1</v>
      </c>
      <c r="H164" t="s">
        <v>1471</v>
      </c>
      <c r="I164" t="s">
        <v>1794</v>
      </c>
      <c r="J164" t="s">
        <v>1795</v>
      </c>
      <c r="K164" t="s">
        <v>1474</v>
      </c>
    </row>
    <row r="165" spans="1:11">
      <c r="A165" t="s">
        <v>276</v>
      </c>
      <c r="B165" s="4" t="s">
        <v>1260</v>
      </c>
      <c r="C165" s="4" t="s">
        <v>1426</v>
      </c>
      <c r="D165">
        <v>93</v>
      </c>
      <c r="F165" t="str">
        <f t="shared" si="5"/>
        <v>GCA_013350005.1</v>
      </c>
      <c r="H165" t="s">
        <v>1471</v>
      </c>
      <c r="I165" t="s">
        <v>1796</v>
      </c>
      <c r="J165" t="s">
        <v>1797</v>
      </c>
      <c r="K165" t="s">
        <v>1474</v>
      </c>
    </row>
    <row r="166" spans="1:11">
      <c r="A166" t="s">
        <v>121</v>
      </c>
      <c r="B166" s="4" t="s">
        <v>1213</v>
      </c>
      <c r="C166" s="4" t="s">
        <v>1435</v>
      </c>
      <c r="D166">
        <v>94</v>
      </c>
      <c r="F166" t="str">
        <f t="shared" si="5"/>
        <v>GCA_014195635.1</v>
      </c>
      <c r="H166" t="s">
        <v>1471</v>
      </c>
      <c r="I166" t="s">
        <v>1798</v>
      </c>
      <c r="J166" t="s">
        <v>1799</v>
      </c>
      <c r="K166" t="s">
        <v>1474</v>
      </c>
    </row>
    <row r="167" spans="1:11">
      <c r="A167" t="s">
        <v>109</v>
      </c>
      <c r="B167" s="4" t="s">
        <v>1209</v>
      </c>
      <c r="C167" s="4" t="s">
        <v>1400</v>
      </c>
      <c r="D167">
        <v>95</v>
      </c>
      <c r="F167" t="str">
        <f t="shared" si="5"/>
        <v>GCA_014196925.1</v>
      </c>
      <c r="H167" t="s">
        <v>1471</v>
      </c>
      <c r="I167" t="s">
        <v>1800</v>
      </c>
      <c r="J167" t="s">
        <v>1801</v>
      </c>
      <c r="K167" t="s">
        <v>1474</v>
      </c>
    </row>
    <row r="168" spans="1:11">
      <c r="A168" t="s">
        <v>7</v>
      </c>
      <c r="B168" s="4" t="s">
        <v>1177</v>
      </c>
      <c r="C168" s="4" t="s">
        <v>1375</v>
      </c>
      <c r="D168">
        <v>96</v>
      </c>
      <c r="F168" t="str">
        <f t="shared" si="5"/>
        <v>GCA_014636935.1</v>
      </c>
      <c r="H168" t="s">
        <v>1471</v>
      </c>
      <c r="I168" t="s">
        <v>1802</v>
      </c>
      <c r="J168" t="s">
        <v>1803</v>
      </c>
      <c r="K168" t="s">
        <v>1474</v>
      </c>
    </row>
    <row r="169" spans="1:11">
      <c r="A169" t="s">
        <v>115</v>
      </c>
      <c r="B169" s="4" t="s">
        <v>1211</v>
      </c>
      <c r="C169" s="4" t="s">
        <v>1399</v>
      </c>
      <c r="D169">
        <v>97</v>
      </c>
      <c r="F169" t="str">
        <f t="shared" si="5"/>
        <v>GCA_014640075.1</v>
      </c>
      <c r="H169" t="s">
        <v>1471</v>
      </c>
      <c r="I169" t="s">
        <v>1804</v>
      </c>
      <c r="J169" t="s">
        <v>1805</v>
      </c>
      <c r="K169" t="s">
        <v>1474</v>
      </c>
    </row>
    <row r="170" spans="1:11">
      <c r="A170" t="s">
        <v>97</v>
      </c>
      <c r="B170" s="4" t="s">
        <v>1205</v>
      </c>
      <c r="C170" s="4" t="s">
        <v>1395</v>
      </c>
      <c r="D170">
        <v>98</v>
      </c>
      <c r="F170" t="str">
        <f t="shared" si="5"/>
        <v>GCA_014656355.1</v>
      </c>
      <c r="H170" t="s">
        <v>1471</v>
      </c>
      <c r="I170" t="s">
        <v>1806</v>
      </c>
      <c r="J170" t="s">
        <v>1807</v>
      </c>
      <c r="K170" t="s">
        <v>1474</v>
      </c>
    </row>
    <row r="171" spans="1:11">
      <c r="A171" t="s">
        <v>81</v>
      </c>
      <c r="B171" s="4" t="s">
        <v>1200</v>
      </c>
      <c r="C171" s="4" t="s">
        <v>1388</v>
      </c>
      <c r="D171">
        <v>99</v>
      </c>
      <c r="F171" t="str">
        <f t="shared" si="5"/>
        <v>GCA_014764685.1</v>
      </c>
      <c r="H171" t="s">
        <v>1471</v>
      </c>
      <c r="I171" t="s">
        <v>1808</v>
      </c>
      <c r="J171" t="s">
        <v>1809</v>
      </c>
      <c r="K171" t="s">
        <v>1474</v>
      </c>
    </row>
  </sheetData>
  <sortState ref="A2:G171">
    <sortCondition ref="A2:A171"/>
  </sortState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3:Q27"/>
  <sheetViews>
    <sheetView workbookViewId="0">
      <selection activeCell="I4" sqref="I4:I25"/>
    </sheetView>
  </sheetViews>
  <sheetFormatPr baseColWidth="10" defaultRowHeight="15" x14ac:dyDescent="0"/>
  <cols>
    <col min="6" max="6" width="15" bestFit="1" customWidth="1"/>
    <col min="7" max="7" width="16" bestFit="1" customWidth="1"/>
    <col min="8" max="8" width="14.33203125" bestFit="1" customWidth="1"/>
    <col min="11" max="11" width="15" bestFit="1" customWidth="1"/>
    <col min="12" max="12" width="14" bestFit="1" customWidth="1"/>
    <col min="16" max="16" width="14.33203125" bestFit="1" customWidth="1"/>
  </cols>
  <sheetData>
    <row r="3" spans="6:17">
      <c r="F3" t="s">
        <v>1962</v>
      </c>
      <c r="G3" t="s">
        <v>1963</v>
      </c>
      <c r="H3" t="s">
        <v>1964</v>
      </c>
      <c r="K3" s="5" t="s">
        <v>453</v>
      </c>
      <c r="L3" t="str">
        <f>LOOKUP($K3,$F$4:$F$25,F$4:F$25)</f>
        <v>abba_bin.3.orig</v>
      </c>
      <c r="M3" t="str">
        <f t="shared" ref="M3:N3" si="0">LOOKUP($K3,$F$4:$F$25,G$4:G$25)</f>
        <v>abba_bin.88.orig</v>
      </c>
      <c r="N3" t="str">
        <f t="shared" si="0"/>
        <v>SAMN50565394</v>
      </c>
      <c r="P3" t="str">
        <f>IF(K3=L3,N3,"")</f>
        <v>SAMN50565394</v>
      </c>
      <c r="Q3">
        <f>COUNTIF(P:P,P3)</f>
        <v>2</v>
      </c>
    </row>
    <row r="4" spans="6:17">
      <c r="F4" t="s">
        <v>462</v>
      </c>
      <c r="G4" t="s">
        <v>1965</v>
      </c>
      <c r="H4" t="s">
        <v>1966</v>
      </c>
      <c r="I4">
        <f>COUNTIF(H:H,H4)</f>
        <v>1</v>
      </c>
      <c r="K4" s="5" t="s">
        <v>364</v>
      </c>
      <c r="L4" t="str">
        <f t="shared" ref="L4:L27" si="1">LOOKUP($K4,$F$4:$F$25,F$4:F$25)</f>
        <v>abba_bin.18.orig</v>
      </c>
      <c r="M4" t="str">
        <f t="shared" ref="M4:M27" si="2">LOOKUP($K4,$F$4:$F$25,G$4:G$25)</f>
        <v>abba_bin.112.orig</v>
      </c>
      <c r="N4" t="str">
        <f t="shared" ref="N4:N27" si="3">LOOKUP($K4,$F$4:$F$25,H$4:H$25)</f>
        <v>SAMN50565318</v>
      </c>
      <c r="P4" t="str">
        <f t="shared" ref="P4:P27" si="4">IF(K4=L4,N4,"")</f>
        <v>SAMN50565318</v>
      </c>
      <c r="Q4">
        <f t="shared" ref="Q4:Q26" si="5">COUNTIF(P:P,P4)</f>
        <v>1</v>
      </c>
    </row>
    <row r="5" spans="6:17">
      <c r="F5" t="s">
        <v>418</v>
      </c>
      <c r="G5" t="s">
        <v>1967</v>
      </c>
      <c r="H5" t="s">
        <v>1968</v>
      </c>
      <c r="I5">
        <f t="shared" ref="I5:I25" si="6">COUNTIF(H:H,H5)</f>
        <v>2</v>
      </c>
      <c r="K5" s="4" t="s">
        <v>1408</v>
      </c>
      <c r="L5" t="str">
        <f t="shared" si="1"/>
        <v>fagr_bin.7.orig</v>
      </c>
      <c r="M5" t="str">
        <f t="shared" si="2"/>
        <v>coco_bin.48.orig</v>
      </c>
      <c r="N5" t="str">
        <f t="shared" si="3"/>
        <v>SAMN50565532</v>
      </c>
      <c r="P5" t="str">
        <f t="shared" si="4"/>
        <v/>
      </c>
    </row>
    <row r="6" spans="6:17">
      <c r="F6" t="s">
        <v>364</v>
      </c>
      <c r="G6" t="s">
        <v>1969</v>
      </c>
      <c r="H6" t="s">
        <v>1970</v>
      </c>
      <c r="I6">
        <f t="shared" si="6"/>
        <v>1</v>
      </c>
      <c r="K6" s="5" t="s">
        <v>322</v>
      </c>
      <c r="L6" t="str">
        <f t="shared" si="1"/>
        <v>abba_bin.24.orig</v>
      </c>
      <c r="M6" t="str">
        <f t="shared" si="2"/>
        <v>abba_bin.25.orig</v>
      </c>
      <c r="N6" t="str">
        <f t="shared" si="3"/>
        <v>SAMN50565026</v>
      </c>
      <c r="P6" t="str">
        <f t="shared" si="4"/>
        <v>SAMN50565026</v>
      </c>
      <c r="Q6">
        <f t="shared" si="5"/>
        <v>1</v>
      </c>
    </row>
    <row r="7" spans="6:17">
      <c r="F7" t="s">
        <v>322</v>
      </c>
      <c r="G7" t="s">
        <v>1971</v>
      </c>
      <c r="H7" t="s">
        <v>1972</v>
      </c>
      <c r="I7">
        <f t="shared" si="6"/>
        <v>1</v>
      </c>
      <c r="K7" s="5" t="s">
        <v>367</v>
      </c>
      <c r="L7" t="str">
        <f t="shared" si="1"/>
        <v>abba_bin.37.orig</v>
      </c>
      <c r="M7" t="str">
        <f t="shared" si="2"/>
        <v>abba_bin.70.orig</v>
      </c>
      <c r="N7" t="str">
        <f t="shared" si="3"/>
        <v>SAMN50565380</v>
      </c>
      <c r="P7" t="str">
        <f t="shared" si="4"/>
        <v>SAMN50565380</v>
      </c>
      <c r="Q7">
        <f t="shared" si="5"/>
        <v>1</v>
      </c>
    </row>
    <row r="8" spans="6:17">
      <c r="F8" t="s">
        <v>453</v>
      </c>
      <c r="G8" t="s">
        <v>1973</v>
      </c>
      <c r="H8" t="s">
        <v>1974</v>
      </c>
      <c r="I8">
        <f t="shared" si="6"/>
        <v>2</v>
      </c>
      <c r="K8" s="5" t="s">
        <v>400</v>
      </c>
      <c r="L8" t="str">
        <f t="shared" si="1"/>
        <v>abba_bin.40.orig</v>
      </c>
      <c r="M8" t="str">
        <f t="shared" si="2"/>
        <v>abba_bin.120.orig</v>
      </c>
      <c r="N8" t="str">
        <f t="shared" si="3"/>
        <v>SAMN50565326</v>
      </c>
      <c r="P8" t="str">
        <f t="shared" si="4"/>
        <v>SAMN50565326</v>
      </c>
      <c r="Q8">
        <f t="shared" si="5"/>
        <v>1</v>
      </c>
    </row>
    <row r="9" spans="6:17">
      <c r="F9" t="s">
        <v>367</v>
      </c>
      <c r="G9" t="s">
        <v>1975</v>
      </c>
      <c r="H9" t="s">
        <v>1976</v>
      </c>
      <c r="I9">
        <f t="shared" si="6"/>
        <v>1</v>
      </c>
      <c r="K9" s="5" t="s">
        <v>403</v>
      </c>
      <c r="L9" t="str">
        <f t="shared" si="1"/>
        <v>abba_bin.42.orig</v>
      </c>
      <c r="M9" t="str">
        <f t="shared" si="2"/>
        <v>abba_bin.35.orig</v>
      </c>
      <c r="N9" t="str">
        <f t="shared" si="3"/>
        <v>SAMN50565347</v>
      </c>
      <c r="P9" t="str">
        <f t="shared" si="4"/>
        <v>SAMN50565347</v>
      </c>
      <c r="Q9">
        <f t="shared" si="5"/>
        <v>1</v>
      </c>
    </row>
    <row r="10" spans="6:17">
      <c r="F10" t="s">
        <v>400</v>
      </c>
      <c r="G10" t="s">
        <v>1977</v>
      </c>
      <c r="H10" t="s">
        <v>1978</v>
      </c>
      <c r="I10">
        <f t="shared" si="6"/>
        <v>1</v>
      </c>
      <c r="K10" s="5" t="s">
        <v>406</v>
      </c>
      <c r="L10" t="str">
        <f t="shared" si="1"/>
        <v>coco_bin.22.orig</v>
      </c>
      <c r="M10" t="str">
        <f t="shared" si="2"/>
        <v>coco_bin.9.orig</v>
      </c>
      <c r="N10" t="str">
        <f t="shared" si="3"/>
        <v>SAMN50565541</v>
      </c>
      <c r="P10" t="str">
        <f t="shared" si="4"/>
        <v>SAMN50565541</v>
      </c>
      <c r="Q10">
        <f t="shared" si="5"/>
        <v>1</v>
      </c>
    </row>
    <row r="11" spans="6:17">
      <c r="F11" t="s">
        <v>403</v>
      </c>
      <c r="G11" t="s">
        <v>1979</v>
      </c>
      <c r="H11" t="s">
        <v>1980</v>
      </c>
      <c r="I11">
        <f t="shared" si="6"/>
        <v>1</v>
      </c>
      <c r="K11" s="5" t="s">
        <v>470</v>
      </c>
      <c r="L11" t="str">
        <f t="shared" si="1"/>
        <v>coco_bin.33.orig</v>
      </c>
      <c r="M11" t="str">
        <f t="shared" si="2"/>
        <v>coco_bin.48.orig</v>
      </c>
      <c r="N11" t="str">
        <f t="shared" si="3"/>
        <v>SAMN50565532</v>
      </c>
      <c r="P11" t="str">
        <f t="shared" si="4"/>
        <v>SAMN50565532</v>
      </c>
      <c r="Q11">
        <f>COUNTIF(P:P,P11)</f>
        <v>4</v>
      </c>
    </row>
    <row r="12" spans="6:17">
      <c r="F12" t="s">
        <v>473</v>
      </c>
      <c r="G12" t="s">
        <v>1981</v>
      </c>
      <c r="H12" t="s">
        <v>1982</v>
      </c>
      <c r="I12">
        <f t="shared" si="6"/>
        <v>4</v>
      </c>
      <c r="K12" s="5" t="s">
        <v>415</v>
      </c>
      <c r="L12" t="str">
        <f t="shared" si="1"/>
        <v>thoc_bin.22.orig</v>
      </c>
      <c r="M12" t="str">
        <f t="shared" si="2"/>
        <v>thoc_bin.45.orig</v>
      </c>
      <c r="N12" t="str">
        <f t="shared" si="3"/>
        <v>SAMN50565628</v>
      </c>
      <c r="P12" t="str">
        <f t="shared" si="4"/>
        <v>SAMN50565628</v>
      </c>
      <c r="Q12">
        <f t="shared" si="5"/>
        <v>2</v>
      </c>
    </row>
    <row r="13" spans="6:17">
      <c r="F13" t="s">
        <v>370</v>
      </c>
      <c r="G13" t="s">
        <v>370</v>
      </c>
      <c r="H13" t="s">
        <v>1983</v>
      </c>
      <c r="I13">
        <f t="shared" si="6"/>
        <v>1</v>
      </c>
      <c r="K13" s="5" t="s">
        <v>456</v>
      </c>
      <c r="L13" t="str">
        <f t="shared" si="1"/>
        <v>thoc_bin.37.orig</v>
      </c>
      <c r="M13" t="str">
        <f t="shared" si="2"/>
        <v>thoc_bin.88.orig</v>
      </c>
      <c r="N13" t="str">
        <f t="shared" si="3"/>
        <v>SAMN50565665</v>
      </c>
      <c r="P13" t="str">
        <f t="shared" si="4"/>
        <v>SAMN50565665</v>
      </c>
      <c r="Q13">
        <f t="shared" si="5"/>
        <v>1</v>
      </c>
    </row>
    <row r="14" spans="6:17">
      <c r="F14" t="s">
        <v>409</v>
      </c>
      <c r="G14" t="s">
        <v>1984</v>
      </c>
      <c r="H14" t="s">
        <v>1985</v>
      </c>
      <c r="I14">
        <f t="shared" si="6"/>
        <v>1</v>
      </c>
      <c r="K14" s="5" t="s">
        <v>459</v>
      </c>
      <c r="L14" t="str">
        <f t="shared" si="1"/>
        <v>thoc_bin.47.orig</v>
      </c>
      <c r="M14" t="str">
        <f t="shared" si="2"/>
        <v>thoc_bin.102.orig</v>
      </c>
      <c r="N14" t="str">
        <f t="shared" si="3"/>
        <v>SAMN50565593</v>
      </c>
      <c r="P14" t="str">
        <f t="shared" si="4"/>
        <v>SAMN50565593</v>
      </c>
      <c r="Q14">
        <f t="shared" si="5"/>
        <v>1</v>
      </c>
    </row>
    <row r="15" spans="6:17">
      <c r="F15" t="s">
        <v>476</v>
      </c>
      <c r="G15" t="s">
        <v>1981</v>
      </c>
      <c r="H15" t="s">
        <v>1982</v>
      </c>
      <c r="I15">
        <f t="shared" si="6"/>
        <v>4</v>
      </c>
      <c r="K15" s="5" t="s">
        <v>462</v>
      </c>
      <c r="L15" t="str">
        <f t="shared" si="1"/>
        <v>abba_bin.1.orig</v>
      </c>
      <c r="M15" t="str">
        <f t="shared" si="2"/>
        <v>abba_bin.20.orig</v>
      </c>
      <c r="N15" t="str">
        <f t="shared" si="3"/>
        <v>SAMN50565336</v>
      </c>
      <c r="P15" t="str">
        <f t="shared" si="4"/>
        <v>SAMN50565336</v>
      </c>
      <c r="Q15">
        <f t="shared" si="5"/>
        <v>1</v>
      </c>
    </row>
    <row r="16" spans="6:17">
      <c r="F16" t="s">
        <v>406</v>
      </c>
      <c r="G16" t="s">
        <v>1986</v>
      </c>
      <c r="H16" t="s">
        <v>1987</v>
      </c>
      <c r="I16">
        <f t="shared" si="6"/>
        <v>1</v>
      </c>
      <c r="K16" s="4" t="s">
        <v>1411</v>
      </c>
      <c r="L16" t="str">
        <f t="shared" si="1"/>
        <v>fagr_bin.7.orig</v>
      </c>
      <c r="M16" t="str">
        <f t="shared" si="2"/>
        <v>coco_bin.48.orig</v>
      </c>
      <c r="N16" t="str">
        <f t="shared" si="3"/>
        <v>SAMN50565532</v>
      </c>
      <c r="P16" t="str">
        <f t="shared" si="4"/>
        <v/>
      </c>
    </row>
    <row r="17" spans="6:17">
      <c r="F17" t="s">
        <v>470</v>
      </c>
      <c r="G17" t="s">
        <v>1981</v>
      </c>
      <c r="H17" t="s">
        <v>1982</v>
      </c>
      <c r="I17">
        <f t="shared" si="6"/>
        <v>4</v>
      </c>
      <c r="K17" s="5" t="s">
        <v>418</v>
      </c>
      <c r="L17" t="str">
        <f t="shared" si="1"/>
        <v>abba_bin.11.orig</v>
      </c>
      <c r="M17" t="str">
        <f t="shared" si="2"/>
        <v>thoc_bin.45.orig</v>
      </c>
      <c r="N17" t="str">
        <f t="shared" si="3"/>
        <v>SAMN50565628</v>
      </c>
      <c r="P17" t="str">
        <f t="shared" si="4"/>
        <v>SAMN50565628</v>
      </c>
      <c r="Q17">
        <f t="shared" si="5"/>
        <v>2</v>
      </c>
    </row>
    <row r="18" spans="6:17">
      <c r="F18" t="s">
        <v>479</v>
      </c>
      <c r="G18" t="s">
        <v>1981</v>
      </c>
      <c r="H18" t="s">
        <v>1982</v>
      </c>
      <c r="I18">
        <f t="shared" si="6"/>
        <v>4</v>
      </c>
      <c r="K18" s="5" t="s">
        <v>473</v>
      </c>
      <c r="L18" t="str">
        <f t="shared" si="1"/>
        <v>abba_bin.44.orig</v>
      </c>
      <c r="M18" t="str">
        <f t="shared" si="2"/>
        <v>coco_bin.48.orig</v>
      </c>
      <c r="N18" t="str">
        <f t="shared" si="3"/>
        <v>SAMN50565532</v>
      </c>
      <c r="P18" t="str">
        <f t="shared" si="4"/>
        <v>SAMN50565532</v>
      </c>
      <c r="Q18">
        <f>COUNTIF(P:P,P18)</f>
        <v>4</v>
      </c>
    </row>
    <row r="19" spans="6:17">
      <c r="F19" t="s">
        <v>465</v>
      </c>
      <c r="G19" t="s">
        <v>1973</v>
      </c>
      <c r="H19" t="s">
        <v>1974</v>
      </c>
      <c r="I19">
        <f t="shared" si="6"/>
        <v>2</v>
      </c>
      <c r="K19" s="5" t="s">
        <v>370</v>
      </c>
      <c r="L19" t="str">
        <f t="shared" si="1"/>
        <v>abba_bin.66.orig</v>
      </c>
      <c r="M19" t="str">
        <f t="shared" si="2"/>
        <v>abba_bin.66.orig</v>
      </c>
      <c r="N19" t="str">
        <f t="shared" si="3"/>
        <v>SAMN50565376</v>
      </c>
      <c r="P19" t="str">
        <f t="shared" si="4"/>
        <v>SAMN50565376</v>
      </c>
      <c r="Q19">
        <f t="shared" si="5"/>
        <v>1</v>
      </c>
    </row>
    <row r="20" spans="6:17">
      <c r="F20" t="s">
        <v>482</v>
      </c>
      <c r="G20" t="s">
        <v>1988</v>
      </c>
      <c r="H20" t="s">
        <v>1989</v>
      </c>
      <c r="I20">
        <f t="shared" si="6"/>
        <v>1</v>
      </c>
      <c r="K20" s="5" t="s">
        <v>409</v>
      </c>
      <c r="L20" t="str">
        <f t="shared" si="1"/>
        <v>acsa_bin.4.orig</v>
      </c>
      <c r="M20" t="str">
        <f t="shared" si="2"/>
        <v>acsa_bin.11.orig</v>
      </c>
      <c r="N20" t="str">
        <f t="shared" si="3"/>
        <v>SAMN50565406</v>
      </c>
      <c r="P20" t="str">
        <f t="shared" si="4"/>
        <v>SAMN50565406</v>
      </c>
      <c r="Q20">
        <f t="shared" si="5"/>
        <v>1</v>
      </c>
    </row>
    <row r="21" spans="6:17">
      <c r="F21" t="s">
        <v>415</v>
      </c>
      <c r="G21" t="s">
        <v>1967</v>
      </c>
      <c r="H21" t="s">
        <v>1968</v>
      </c>
      <c r="I21">
        <f t="shared" si="6"/>
        <v>2</v>
      </c>
      <c r="K21" s="5" t="s">
        <v>476</v>
      </c>
      <c r="L21" t="str">
        <f t="shared" si="1"/>
        <v>acsa_bin.7.orig</v>
      </c>
      <c r="M21" t="str">
        <f t="shared" si="2"/>
        <v>coco_bin.48.orig</v>
      </c>
      <c r="N21" t="str">
        <f t="shared" si="3"/>
        <v>SAMN50565532</v>
      </c>
      <c r="P21" t="str">
        <f t="shared" si="4"/>
        <v>SAMN50565532</v>
      </c>
      <c r="Q21">
        <f t="shared" si="5"/>
        <v>4</v>
      </c>
    </row>
    <row r="22" spans="6:17">
      <c r="F22" t="s">
        <v>456</v>
      </c>
      <c r="G22" t="s">
        <v>1990</v>
      </c>
      <c r="H22" t="s">
        <v>1991</v>
      </c>
      <c r="I22">
        <f t="shared" si="6"/>
        <v>1</v>
      </c>
      <c r="K22" s="5" t="s">
        <v>479</v>
      </c>
      <c r="L22" t="str">
        <f t="shared" si="1"/>
        <v>fagr_bin.7.orig</v>
      </c>
      <c r="M22" t="str">
        <f t="shared" si="2"/>
        <v>coco_bin.48.orig</v>
      </c>
      <c r="N22" t="str">
        <f t="shared" si="3"/>
        <v>SAMN50565532</v>
      </c>
      <c r="P22" t="str">
        <f t="shared" si="4"/>
        <v>SAMN50565532</v>
      </c>
      <c r="Q22">
        <f t="shared" si="5"/>
        <v>4</v>
      </c>
    </row>
    <row r="23" spans="6:17">
      <c r="F23" t="s">
        <v>459</v>
      </c>
      <c r="G23" t="s">
        <v>1992</v>
      </c>
      <c r="H23" t="s">
        <v>1993</v>
      </c>
      <c r="I23">
        <f t="shared" si="6"/>
        <v>1</v>
      </c>
      <c r="K23" s="5" t="s">
        <v>465</v>
      </c>
      <c r="L23" t="str">
        <f t="shared" si="1"/>
        <v>thoc_bin.18.orig</v>
      </c>
      <c r="M23" t="str">
        <f t="shared" si="2"/>
        <v>abba_bin.88.orig</v>
      </c>
      <c r="N23" t="str">
        <f t="shared" si="3"/>
        <v>SAMN50565394</v>
      </c>
      <c r="P23" t="str">
        <f t="shared" si="4"/>
        <v>SAMN50565394</v>
      </c>
      <c r="Q23">
        <f t="shared" si="5"/>
        <v>2</v>
      </c>
    </row>
    <row r="24" spans="6:17">
      <c r="F24" t="s">
        <v>327</v>
      </c>
      <c r="G24" t="s">
        <v>1994</v>
      </c>
      <c r="H24" t="s">
        <v>1995</v>
      </c>
      <c r="I24">
        <f t="shared" si="6"/>
        <v>1</v>
      </c>
      <c r="K24" s="5" t="s">
        <v>482</v>
      </c>
      <c r="L24" t="str">
        <f t="shared" si="1"/>
        <v>thoc_bin.20.orig</v>
      </c>
      <c r="M24" t="str">
        <f t="shared" si="2"/>
        <v>thoc_bin.73.orig</v>
      </c>
      <c r="N24" t="str">
        <f t="shared" si="3"/>
        <v>SAMN50565652</v>
      </c>
      <c r="P24" t="str">
        <f t="shared" si="4"/>
        <v>SAMN50565652</v>
      </c>
      <c r="Q24">
        <f t="shared" si="5"/>
        <v>1</v>
      </c>
    </row>
    <row r="25" spans="6:17">
      <c r="F25" t="s">
        <v>412</v>
      </c>
      <c r="G25" t="s">
        <v>1996</v>
      </c>
      <c r="H25" t="s">
        <v>1997</v>
      </c>
      <c r="I25">
        <f t="shared" si="6"/>
        <v>1</v>
      </c>
      <c r="K25" s="5" t="s">
        <v>327</v>
      </c>
      <c r="L25" t="str">
        <f t="shared" si="1"/>
        <v>thoc_bin.53.orig</v>
      </c>
      <c r="M25" t="str">
        <f t="shared" si="2"/>
        <v>thoc_bin.79.orig</v>
      </c>
      <c r="N25" t="str">
        <f t="shared" si="3"/>
        <v>SAMN50565657</v>
      </c>
      <c r="P25" t="str">
        <f t="shared" si="4"/>
        <v>SAMN50565657</v>
      </c>
      <c r="Q25">
        <f t="shared" si="5"/>
        <v>1</v>
      </c>
    </row>
    <row r="26" spans="6:17">
      <c r="K26" s="5" t="s">
        <v>412</v>
      </c>
      <c r="L26" t="str">
        <f t="shared" si="1"/>
        <v>thoc_bin.9.orig</v>
      </c>
      <c r="M26" t="str">
        <f t="shared" si="2"/>
        <v>thoc_bin.99.orig</v>
      </c>
      <c r="N26" t="str">
        <f t="shared" si="3"/>
        <v>SAMN50565671</v>
      </c>
      <c r="P26" t="str">
        <f t="shared" si="4"/>
        <v>SAMN50565671</v>
      </c>
      <c r="Q26">
        <f t="shared" si="5"/>
        <v>1</v>
      </c>
    </row>
    <row r="27" spans="6:17">
      <c r="K27" s="4" t="s">
        <v>1414</v>
      </c>
      <c r="L27" t="str">
        <f t="shared" si="1"/>
        <v>fagr_bin.7.orig</v>
      </c>
      <c r="M27" t="str">
        <f t="shared" si="2"/>
        <v>coco_bin.48.orig</v>
      </c>
      <c r="N27" t="str">
        <f t="shared" si="3"/>
        <v>SAMN50565532</v>
      </c>
      <c r="P27" t="str">
        <f t="shared" si="4"/>
        <v/>
      </c>
    </row>
  </sheetData>
  <sortState ref="F4:H25">
    <sortCondition ref="F4:F25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Dataset1</vt:lpstr>
      <vt:lpstr>Feuil1</vt:lpstr>
      <vt:lpstr>Feuil2</vt:lpstr>
      <vt:lpstr>Feuil3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Jean-Baptiste</dc:creator>
  <cp:lastModifiedBy>Jean-Baptiste</cp:lastModifiedBy>
  <dcterms:created xsi:type="dcterms:W3CDTF">2025-05-22T20:31:05Z</dcterms:created>
  <dcterms:modified xsi:type="dcterms:W3CDTF">2025-08-19T13:18:37Z</dcterms:modified>
</cp:coreProperties>
</file>