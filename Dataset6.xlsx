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"/>
    </mc:Choice>
  </mc:AlternateContent>
  <xr:revisionPtr revIDLastSave="0" documentId="13_ncr:1_{ED1B2BB9-32F2-6747-85EC-2C99065A7711}" xr6:coauthVersionLast="47" xr6:coauthVersionMax="47" xr10:uidLastSave="{00000000-0000-0000-0000-000000000000}"/>
  <bookViews>
    <workbookView xWindow="1100" yWindow="820" windowWidth="28040" windowHeight="17120" xr2:uid="{7066F034-F861-E946-AF9A-F4BF43366FE3}"/>
  </bookViews>
  <sheets>
    <sheet name="Dataset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41" i="1"/>
  <c r="G39" i="1"/>
  <c r="G38" i="1"/>
  <c r="G37" i="1"/>
  <c r="G35" i="1"/>
  <c r="G34" i="1"/>
  <c r="G32" i="1"/>
  <c r="G31" i="1"/>
  <c r="G29" i="1"/>
  <c r="G25" i="1"/>
  <c r="G22" i="1"/>
  <c r="G21" i="1"/>
  <c r="G19" i="1"/>
  <c r="G18" i="1"/>
  <c r="G17" i="1"/>
  <c r="G16" i="1"/>
  <c r="G15" i="1"/>
  <c r="G14" i="1"/>
  <c r="G13" i="1"/>
  <c r="G12" i="1"/>
  <c r="G10" i="1"/>
  <c r="G9" i="1"/>
  <c r="G5" i="1"/>
  <c r="F42" i="1"/>
  <c r="F41" i="1"/>
  <c r="F39" i="1"/>
  <c r="F38" i="1"/>
  <c r="F37" i="1"/>
  <c r="F35" i="1"/>
  <c r="F34" i="1"/>
  <c r="F32" i="1"/>
  <c r="F31" i="1"/>
  <c r="F29" i="1"/>
  <c r="F25" i="1"/>
  <c r="F22" i="1"/>
  <c r="F21" i="1"/>
  <c r="F19" i="1"/>
  <c r="F18" i="1"/>
  <c r="F17" i="1"/>
  <c r="F16" i="1"/>
  <c r="F15" i="1"/>
  <c r="F14" i="1"/>
  <c r="F13" i="1"/>
  <c r="F12" i="1"/>
  <c r="F10" i="1"/>
  <c r="F9" i="1"/>
  <c r="F5" i="1"/>
  <c r="E42" i="1"/>
  <c r="E41" i="1"/>
  <c r="E39" i="1"/>
  <c r="E38" i="1"/>
  <c r="E37" i="1"/>
  <c r="E35" i="1"/>
  <c r="E34" i="1"/>
  <c r="E32" i="1"/>
  <c r="E31" i="1"/>
  <c r="E18" i="1"/>
  <c r="E29" i="1"/>
  <c r="E25" i="1"/>
  <c r="E22" i="1"/>
  <c r="H21" i="1"/>
  <c r="E21" i="1" s="1"/>
  <c r="E19" i="1"/>
  <c r="E17" i="1"/>
  <c r="E16" i="1"/>
  <c r="E15" i="1"/>
  <c r="E14" i="1"/>
  <c r="E13" i="1"/>
  <c r="E12" i="1"/>
  <c r="E10" i="1"/>
  <c r="E9" i="1"/>
  <c r="E5" i="1"/>
  <c r="J42" i="1"/>
  <c r="D42" i="1" s="1"/>
  <c r="J41" i="1"/>
  <c r="J40" i="1"/>
  <c r="J39" i="1"/>
  <c r="D39" i="1" s="1"/>
  <c r="J38" i="1"/>
  <c r="D38" i="1" s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D5" i="1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C38" i="1" s="1"/>
  <c r="I39" i="1"/>
  <c r="C39" i="1" s="1"/>
  <c r="I40" i="1"/>
  <c r="I41" i="1"/>
  <c r="I42" i="1"/>
  <c r="C42" i="1" s="1"/>
  <c r="I6" i="1"/>
  <c r="I7" i="1"/>
  <c r="I8" i="1"/>
  <c r="I9" i="1"/>
  <c r="I10" i="1"/>
  <c r="I11" i="1"/>
  <c r="I12" i="1"/>
  <c r="I13" i="1"/>
  <c r="I14" i="1"/>
  <c r="I15" i="1"/>
  <c r="I16" i="1"/>
  <c r="I5" i="1"/>
  <c r="H5" i="1"/>
  <c r="B5" i="1" s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B38" i="1" s="1"/>
  <c r="H39" i="1"/>
  <c r="H40" i="1"/>
  <c r="H41" i="1"/>
  <c r="H42" i="1"/>
  <c r="B42" i="1" s="1"/>
  <c r="H6" i="1"/>
  <c r="H7" i="1"/>
  <c r="H8" i="1"/>
  <c r="H9" i="1"/>
  <c r="H10" i="1"/>
  <c r="H11" i="1"/>
  <c r="H12" i="1"/>
  <c r="H13" i="1"/>
  <c r="H14" i="1"/>
  <c r="H15" i="1"/>
  <c r="H16" i="1"/>
  <c r="C5" i="1" l="1"/>
  <c r="B10" i="1"/>
  <c r="C10" i="1"/>
  <c r="D10" i="1"/>
  <c r="B39" i="1"/>
</calcChain>
</file>

<file path=xl/sharedStrings.xml><?xml version="1.0" encoding="utf-8"?>
<sst xmlns="http://schemas.openxmlformats.org/spreadsheetml/2006/main" count="239" uniqueCount="231">
  <si>
    <t>Hyphomicrobiales_RHAL1_NA</t>
  </si>
  <si>
    <t>Hyphomicrobiales_Methylobacteriaceae_Methylobacterium</t>
  </si>
  <si>
    <t>Hyphomicrobiales_Lichenihabitantaceae_Lichenifustis</t>
  </si>
  <si>
    <t>Hyphomicrobiales_Lichenihabitantaceae_Lichenibacterium</t>
  </si>
  <si>
    <t>Hyphomicrobiales_NA_NA</t>
  </si>
  <si>
    <t>Hyphomicrobiales_JAJXWB01_NA</t>
  </si>
  <si>
    <t>Caulobacterales_Caulobacteraceae_NA</t>
  </si>
  <si>
    <t>Hyphomicrobiales_Lichenihabitantaceae_NA</t>
  </si>
  <si>
    <t>Hyphomicrobiales_Rhodoblastaceae_Rhodoblastus</t>
  </si>
  <si>
    <t>Hyphomicrobiales_Methylobacteriaceae_NA</t>
  </si>
  <si>
    <t>Caulobacterales_Caulobacteraceae_Brevundimonas</t>
  </si>
  <si>
    <t>Hyphomicrobiales_Bradyrhizobiaceae_Tardiphaga</t>
  </si>
  <si>
    <t>Caulobacterales_Caulobacteraceae_Phenylobacterium</t>
  </si>
  <si>
    <t>Hyphomicrobiales_Methylobacteriaceae_Enterovirga</t>
  </si>
  <si>
    <t>Rhodospirillales_Acetobacteraceae_NA</t>
  </si>
  <si>
    <t>Hyphomicrobiales_Hyphomicrobiaceae_NA</t>
  </si>
  <si>
    <t>NA_NA_NA</t>
  </si>
  <si>
    <t>Hyphomicrobiales_Aurantimonadaceae_NA</t>
  </si>
  <si>
    <t>Hyphomicrobiales_Beijerinckiaceae_NA</t>
  </si>
  <si>
    <t>Hyphomicrobiales_Rhizobiaceae_Rhizobium</t>
  </si>
  <si>
    <t>Hyphomicrobiales_Bradyrhizobiaceae_Bradyrhizobium</t>
  </si>
  <si>
    <t>Rhodospirillales_NA_NA</t>
  </si>
  <si>
    <t>Hyphomicrobiales_Methylocystaceae_NA</t>
  </si>
  <si>
    <t>Hyphomicrobiales_Hyphomicrobiaceae_Devosia</t>
  </si>
  <si>
    <t>Hyphomicrobiales_Phyllobacteriaceae_Mesorhizobium</t>
  </si>
  <si>
    <t>Hyphomicrobiales_Aurantimonadaceae_Aureimonas</t>
  </si>
  <si>
    <t>Hyphomicrobiales_Brucellaceae_Ochrobactrum</t>
  </si>
  <si>
    <t>Hyphomicrobiales_Phyllobacteriaceae_NA</t>
  </si>
  <si>
    <t>Hyphomicrobiales_Bradyrhizobiaceae_NA</t>
  </si>
  <si>
    <t>Caulobacterales_Caulobacteraceae_Caulobacter</t>
  </si>
  <si>
    <t>Hyphomicrobiales_Methylocystaceae_Methylocystis</t>
  </si>
  <si>
    <t>Sphingomonadales_Sphingomonadaceae_Sphingomonas</t>
  </si>
  <si>
    <t>Hyphomicrobiales_Methylobacteriaceae_Microvirga</t>
  </si>
  <si>
    <t>Caulobacterales_NA_NA</t>
  </si>
  <si>
    <t>Rhodospirillales_Acetobacteraceae_Roseomonas</t>
  </si>
  <si>
    <t>Hyphomicrobiales_Boseaceae_Bosea</t>
  </si>
  <si>
    <t>Hyphomicrobiales_Rhizobiaceae_Shinella</t>
  </si>
  <si>
    <t>Hyphomicrobiales_Bradyrhizobiaceae_Afipia</t>
  </si>
  <si>
    <t>MSH.04.01.C</t>
  </si>
  <si>
    <t>SBL.04.04.E</t>
  </si>
  <si>
    <t>MSH.06.06.E</t>
  </si>
  <si>
    <t>MSH.04.06.G</t>
  </si>
  <si>
    <t>MSH.01.04.C</t>
  </si>
  <si>
    <t>SBL.02.01.G</t>
  </si>
  <si>
    <t>SBL.03.03.A</t>
  </si>
  <si>
    <t>SBL.01.10.G</t>
  </si>
  <si>
    <t>SBL.04.01.E</t>
  </si>
  <si>
    <t>SBL.01.04.E</t>
  </si>
  <si>
    <t>MSH.04.07.G</t>
  </si>
  <si>
    <t>SBL.02.06.A</t>
  </si>
  <si>
    <t>MSH.01.05.C</t>
  </si>
  <si>
    <t>MSH.04.05.E</t>
  </si>
  <si>
    <t>MSH.02.01.E</t>
  </si>
  <si>
    <t>MSH.02.06.G</t>
  </si>
  <si>
    <t>SBL.04.06.E</t>
  </si>
  <si>
    <t>SBL.04.08.G</t>
  </si>
  <si>
    <t>MSH.05.02.E</t>
  </si>
  <si>
    <t>MSH.02.04.E</t>
  </si>
  <si>
    <t>SBL.04.10.A</t>
  </si>
  <si>
    <t>SBL.03.05.C</t>
  </si>
  <si>
    <t>MSH.05.07.G</t>
  </si>
  <si>
    <t>MSH.06.04.E</t>
  </si>
  <si>
    <t>MSH.01.01.A</t>
  </si>
  <si>
    <t>MSH.05.05.E</t>
  </si>
  <si>
    <t>SBL.03.09.C</t>
  </si>
  <si>
    <t>SBL.03.01.B</t>
  </si>
  <si>
    <t>MSH.03.01.F</t>
  </si>
  <si>
    <t>MSH.01.01.G</t>
  </si>
  <si>
    <t>SBL.03.07.C</t>
  </si>
  <si>
    <t>SBL.03.10.C</t>
  </si>
  <si>
    <t>SBL.01.02.C</t>
  </si>
  <si>
    <t>MSH.03.01.G</t>
  </si>
  <si>
    <t>MSH.01.02.A</t>
  </si>
  <si>
    <t>SBL.02.04.H</t>
  </si>
  <si>
    <t>MSH.04.04.E</t>
  </si>
  <si>
    <t>SBL.04.07.G</t>
  </si>
  <si>
    <t>SBL.01.03.A</t>
  </si>
  <si>
    <t>MSH.04.02.C</t>
  </si>
  <si>
    <t>SBL.02.04.A</t>
  </si>
  <si>
    <t>MSH.04.04.C</t>
  </si>
  <si>
    <t>MSH.05.03.G</t>
  </si>
  <si>
    <t>SBL.02.02.G</t>
  </si>
  <si>
    <t>MSH.03.03.C</t>
  </si>
  <si>
    <t>SBL.01.07.G</t>
  </si>
  <si>
    <t>SBL.02.03.A</t>
  </si>
  <si>
    <t>MSH.04.03.E</t>
  </si>
  <si>
    <t>SBL.01.10.A</t>
  </si>
  <si>
    <t>MSH.01.02.C</t>
  </si>
  <si>
    <t>MSH.06.04.G</t>
  </si>
  <si>
    <t>MSH.01.04.F</t>
  </si>
  <si>
    <t>SBL.01.02.E</t>
  </si>
  <si>
    <t>SBL.03.03.C</t>
  </si>
  <si>
    <t>MSH.04.04.G</t>
  </si>
  <si>
    <t>MSH.04.05.G</t>
  </si>
  <si>
    <t>MSH.03.03.E</t>
  </si>
  <si>
    <t>SBL.03.07.E</t>
  </si>
  <si>
    <t>MSH.04.06.E</t>
  </si>
  <si>
    <t>SBL.04.09.G</t>
  </si>
  <si>
    <t>MSH.02.01.G</t>
  </si>
  <si>
    <t>MSH.05.02.C</t>
  </si>
  <si>
    <t>SBL.01.04.G</t>
  </si>
  <si>
    <t>SBL.03.10.E</t>
  </si>
  <si>
    <t>SBL.02.05.A</t>
  </si>
  <si>
    <t>SBL.04.09.A</t>
  </si>
  <si>
    <t>SBL.04.08.A</t>
  </si>
  <si>
    <t>MSH.06.02.C</t>
  </si>
  <si>
    <t>SBL.04.01.G</t>
  </si>
  <si>
    <t>MSH.05.05.G</t>
  </si>
  <si>
    <t>SBL.04.09.E</t>
  </si>
  <si>
    <t>SBL.04.04.C</t>
  </si>
  <si>
    <t>MSH.05.07.C</t>
  </si>
  <si>
    <t>MSH.01.04.A</t>
  </si>
  <si>
    <t>SBL.03.03.E</t>
  </si>
  <si>
    <t>MSH.01.03.D</t>
  </si>
  <si>
    <t>MSH.04.01.E</t>
  </si>
  <si>
    <t>MSH.03.01.E</t>
  </si>
  <si>
    <t>SBL.04.10.C</t>
  </si>
  <si>
    <t>SBL.01.03.C</t>
  </si>
  <si>
    <t>SBL.02.01.D</t>
  </si>
  <si>
    <t>MSH.03.01.C</t>
  </si>
  <si>
    <t>SBL.03.08.C</t>
  </si>
  <si>
    <t>MSH.02.04.G</t>
  </si>
  <si>
    <t>SBL.02.02.A</t>
  </si>
  <si>
    <t>MSH.06.06.G</t>
  </si>
  <si>
    <t>SBL.02.06.C</t>
  </si>
  <si>
    <t>SBL.03.09.E</t>
  </si>
  <si>
    <t>MSH.01.05.E</t>
  </si>
  <si>
    <t>SBL.01.07.A</t>
  </si>
  <si>
    <t>MSH.05.04.C</t>
  </si>
  <si>
    <t>SBL.02.01.A</t>
  </si>
  <si>
    <t>SBL.03.03.G</t>
  </si>
  <si>
    <t>MSH.03.03.G</t>
  </si>
  <si>
    <t>SBL.04.07.E</t>
  </si>
  <si>
    <t>MSH.04.01.G</t>
  </si>
  <si>
    <t>SBL.02.01.E</t>
  </si>
  <si>
    <t>SBL.03.01.E</t>
  </si>
  <si>
    <t>SBL.01.03.G</t>
  </si>
  <si>
    <t>SBL.03.10.G</t>
  </si>
  <si>
    <t>MSH.04.03.G</t>
  </si>
  <si>
    <t>MSH.04.02.E</t>
  </si>
  <si>
    <t>MSH.04.02.G</t>
  </si>
  <si>
    <t>MSH.01.04.G</t>
  </si>
  <si>
    <t>MSH.03.02.C</t>
  </si>
  <si>
    <t>SBL.02.03.G</t>
  </si>
  <si>
    <t>MSH.06.02.E</t>
  </si>
  <si>
    <t>SBL.03.08.E</t>
  </si>
  <si>
    <t>SBL.04.06.A</t>
  </si>
  <si>
    <t>MSH.05.05.C</t>
  </si>
  <si>
    <t>SBL.03.07.G</t>
  </si>
  <si>
    <t>SBL.03.01.C</t>
  </si>
  <si>
    <t>SBL.04.06.G</t>
  </si>
  <si>
    <t>MSH.05.01.E</t>
  </si>
  <si>
    <t>SBL.04.10.E</t>
  </si>
  <si>
    <t>SBL.02.05.C</t>
  </si>
  <si>
    <t>SBL.04.09.C</t>
  </si>
  <si>
    <t>MSH.02.06.C</t>
  </si>
  <si>
    <t>SBL.04.08.C</t>
  </si>
  <si>
    <t>MSH.02.04.A</t>
  </si>
  <si>
    <t>SBL.03.05.G</t>
  </si>
  <si>
    <t>SBL.03.09.G</t>
  </si>
  <si>
    <t>SBL.01.02.F</t>
  </si>
  <si>
    <t>SBL.03.07.H</t>
  </si>
  <si>
    <t>SBL.02.03.C</t>
  </si>
  <si>
    <t>MSH.04.01.A</t>
  </si>
  <si>
    <t>MSH.04.05.A</t>
  </si>
  <si>
    <t>SBL.04.03.E</t>
  </si>
  <si>
    <t>SBL.01.10.C</t>
  </si>
  <si>
    <t>MSH.01.01.C</t>
  </si>
  <si>
    <t>SBL.04.03.G</t>
  </si>
  <si>
    <t>SBL.02.02.C</t>
  </si>
  <si>
    <t>MSH.05.04.E</t>
  </si>
  <si>
    <t>MSH.01.02.E</t>
  </si>
  <si>
    <t>MSH.01.05.G</t>
  </si>
  <si>
    <t>MSH.01.03.E</t>
  </si>
  <si>
    <t>SBL.02.06.E</t>
  </si>
  <si>
    <t>MSH.05.03.C</t>
  </si>
  <si>
    <t>MSH.04.03.C</t>
  </si>
  <si>
    <t>SBL.03.08.G</t>
  </si>
  <si>
    <t>SBL.01.10.E</t>
  </si>
  <si>
    <t>SBL.04.04.A</t>
  </si>
  <si>
    <t>SBL.02.02.E</t>
  </si>
  <si>
    <t>SBL.03.10.A</t>
  </si>
  <si>
    <t>MSH.01.01.E</t>
  </si>
  <si>
    <t>MSH.06.02.G</t>
  </si>
  <si>
    <t>MSH.04.06.C</t>
  </si>
  <si>
    <t>SBL.04.03.C</t>
  </si>
  <si>
    <t>SBL.02.03.E</t>
  </si>
  <si>
    <t>SBL.02.01.C</t>
  </si>
  <si>
    <t>SBL.01.02.A</t>
  </si>
  <si>
    <t>SBL.04.04.G</t>
  </si>
  <si>
    <t>SBL.04.01.A</t>
  </si>
  <si>
    <t>SBL.03.09.A</t>
  </si>
  <si>
    <t>MSH.06.04.C</t>
  </si>
  <si>
    <t>MSH.05.03.E</t>
  </si>
  <si>
    <t>SBL.04.06.C</t>
  </si>
  <si>
    <t>SBL.03.05.E</t>
  </si>
  <si>
    <t>SBL.02.05.E</t>
  </si>
  <si>
    <t>MSH.02.04.C</t>
  </si>
  <si>
    <t>MSH.02.06.E</t>
  </si>
  <si>
    <t>MSH.05.02.G</t>
  </si>
  <si>
    <t>SBL.04.01.D</t>
  </si>
  <si>
    <t>SBL.04.10.G</t>
  </si>
  <si>
    <t>MSH.05.04.H</t>
  </si>
  <si>
    <t>MSH.05.07.E</t>
  </si>
  <si>
    <t>MSH.04.02.A</t>
  </si>
  <si>
    <t>MSH.05.01.G</t>
  </si>
  <si>
    <t>MSH.04.03.A</t>
  </si>
  <si>
    <t>SBL.02.05.G</t>
  </si>
  <si>
    <t>MSH.02.01.A</t>
  </si>
  <si>
    <t>SBL.03.05.A</t>
  </si>
  <si>
    <t>MSH.02.01.C</t>
  </si>
  <si>
    <t>SBL.04.07.C</t>
  </si>
  <si>
    <t>SBL.02.04.C</t>
  </si>
  <si>
    <t>MSH.01.03.G</t>
  </si>
  <si>
    <t>SBL.01.07.C</t>
  </si>
  <si>
    <t>SBL.01.02.G</t>
  </si>
  <si>
    <t>MSH.04.04.A</t>
  </si>
  <si>
    <t>SBL.03.07.A</t>
  </si>
  <si>
    <t>SBL.01.07.E</t>
  </si>
  <si>
    <t>SBL.03.01.G</t>
  </si>
  <si>
    <t>MSH.01.02.G</t>
  </si>
  <si>
    <t>SBL.02.06.G</t>
  </si>
  <si>
    <t>MSH</t>
  </si>
  <si>
    <t>SBL</t>
  </si>
  <si>
    <t>SITE</t>
  </si>
  <si>
    <t>Source file: Abundance-per-taxa-rpoB-juilly2.txt</t>
  </si>
  <si>
    <t>LEAF SAMPLE</t>
  </si>
  <si>
    <t>PER SAMPLE</t>
  </si>
  <si>
    <t>ORDER</t>
  </si>
  <si>
    <t>GENUS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</si>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</sst>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68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/>
    <xf numFmtId="0" fontId="0" fillId="0" borderId="0" xfId="0" applyAlignment="1">
      <alignment textRotation="90"/>
    </xf>
    <xf numFmtId="164" fontId="0" fillId="0" borderId="0" xfId="0" applyNumberFormat="1" applyAlignment="1">
      <alignment textRotation="90"/>
    </xf>
    <xf numFmtId="164" fontId="0" fillId="0" borderId="0" xfId="0" applyNumberFormat="1"/>
    <xf numFmtId="164" fontId="18" fillId="0" borderId="0" xfId="1" applyNumberFormat="1" applyFont="1"/>
    <xf numFmtId="0" fontId="0" fillId="34" borderId="0" xfId="0" applyFill="1"/>
    <xf numFmtId="164" fontId="18" fillId="34" borderId="0" xfId="1" applyNumberFormat="1" applyFont="1" applyFill="1"/>
    <xf numFmtId="0" fontId="0" fillId="35" borderId="0" xfId="0" applyFill="1"/>
    <xf numFmtId="164" fontId="18" fillId="35" borderId="0" xfId="1" applyNumberFormat="1" applyFont="1" applyFill="1"/>
    <xf numFmtId="0" fontId="0" fillId="36" borderId="0" xfId="0" applyFill="1"/>
    <xf numFmtId="164" fontId="18" fillId="36" borderId="0" xfId="1" applyNumberFormat="1" applyFont="1" applyFill="1"/>
    <xf numFmtId="0" fontId="0" fillId="37" borderId="0" xfId="0" applyFill="1"/>
    <xf numFmtId="164" fontId="18" fillId="37" borderId="0" xfId="1" applyNumberFormat="1" applyFont="1" applyFill="1"/>
    <xf numFmtId="164" fontId="18" fillId="33" borderId="0" xfId="1" applyNumberFormat="1" applyFont="1" applyFill="1"/>
    <xf numFmtId="0" fontId="0" fillId="38" borderId="0" xfId="0" applyFill="1"/>
    <xf numFmtId="164" fontId="18" fillId="38" borderId="0" xfId="1" applyNumberFormat="1" applyFon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 textRotation="90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64" fontId="18" fillId="0" borderId="0" xfId="1" applyNumberFormat="1" applyFont="1" applyAlignment="1">
      <alignment horizontal="center"/>
    </xf>
    <xf numFmtId="164" fontId="18" fillId="0" borderId="0" xfId="1" applyNumberFormat="1" applyFont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164" fontId="18" fillId="33" borderId="0" xfId="1" applyNumberFormat="1" applyFont="1" applyFill="1" applyAlignment="1">
      <alignment horizontal="center" vertical="center"/>
    </xf>
    <xf numFmtId="164" fontId="18" fillId="34" borderId="0" xfId="1" applyNumberFormat="1" applyFont="1" applyFill="1" applyAlignment="1">
      <alignment horizontal="center" vertical="center"/>
    </xf>
    <xf numFmtId="164" fontId="18" fillId="38" borderId="0" xfId="1" applyNumberFormat="1" applyFont="1" applyFill="1" applyAlignment="1">
      <alignment horizontal="center" vertical="center"/>
    </xf>
    <xf numFmtId="164" fontId="18" fillId="37" borderId="0" xfId="1" applyNumberFormat="1" applyFont="1" applyFill="1" applyAlignment="1">
      <alignment horizontal="center" vertic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colors>
    <mruColors>
      <color rgb="FFFFA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3E79-B390-1C4E-80AE-7F94EFB53EA1}">
  <dimension ref="A1:GL42"/>
  <sheetViews>
    <sheetView tabSelected="1" topLeftCell="A8" workbookViewId="0">
      <selection activeCell="J47" sqref="J47"/>
    </sheetView>
  </sheetViews>
  <sheetFormatPr baseColWidth="10" defaultRowHeight="16" x14ac:dyDescent="0.2"/>
  <cols>
    <col min="1" max="1" width="50.83203125" bestFit="1" customWidth="1"/>
    <col min="2" max="4" width="6.1640625" bestFit="1" customWidth="1"/>
    <col min="5" max="5" width="6.1640625" style="4" bestFit="1" customWidth="1"/>
    <col min="6" max="6" width="6.1640625" bestFit="1" customWidth="1"/>
    <col min="7" max="7" width="6.1640625" customWidth="1"/>
    <col min="8" max="8" width="6.1640625" style="4" bestFit="1" customWidth="1"/>
    <col min="9" max="9" width="6.1640625" bestFit="1" customWidth="1"/>
    <col min="10" max="10" width="6.1640625" customWidth="1"/>
    <col min="11" max="16" width="5.1640625" bestFit="1" customWidth="1"/>
    <col min="17" max="17" width="4.1640625" bestFit="1" customWidth="1"/>
    <col min="18" max="18" width="5.1640625" bestFit="1" customWidth="1"/>
    <col min="19" max="19" width="4.1640625" bestFit="1" customWidth="1"/>
    <col min="20" max="22" width="5.1640625" bestFit="1" customWidth="1"/>
    <col min="23" max="24" width="4.1640625" bestFit="1" customWidth="1"/>
    <col min="25" max="31" width="5.1640625" bestFit="1" customWidth="1"/>
    <col min="32" max="32" width="4.1640625" bestFit="1" customWidth="1"/>
    <col min="33" max="38" width="5.1640625" bestFit="1" customWidth="1"/>
    <col min="39" max="39" width="4.1640625" bestFit="1" customWidth="1"/>
    <col min="40" max="44" width="5.1640625" bestFit="1" customWidth="1"/>
    <col min="45" max="45" width="4.1640625" bestFit="1" customWidth="1"/>
    <col min="46" max="48" width="5.1640625" bestFit="1" customWidth="1"/>
    <col min="49" max="51" width="4.1640625" bestFit="1" customWidth="1"/>
    <col min="52" max="64" width="5.1640625" bestFit="1" customWidth="1"/>
    <col min="65" max="65" width="4.1640625" bestFit="1" customWidth="1"/>
    <col min="66" max="77" width="5.1640625" bestFit="1" customWidth="1"/>
    <col min="78" max="80" width="4.1640625" bestFit="1" customWidth="1"/>
    <col min="81" max="83" width="5.1640625" bestFit="1" customWidth="1"/>
    <col min="84" max="84" width="4.1640625" bestFit="1" customWidth="1"/>
    <col min="85" max="85" width="5.1640625" bestFit="1" customWidth="1"/>
    <col min="86" max="86" width="4.1640625" bestFit="1" customWidth="1"/>
    <col min="87" max="87" width="5.1640625" bestFit="1" customWidth="1"/>
    <col min="88" max="88" width="4.1640625" bestFit="1" customWidth="1"/>
    <col min="89" max="107" width="5.1640625" bestFit="1" customWidth="1"/>
    <col min="108" max="108" width="4.1640625" bestFit="1" customWidth="1"/>
    <col min="109" max="114" width="5.1640625" bestFit="1" customWidth="1"/>
    <col min="115" max="115" width="4.1640625" bestFit="1" customWidth="1"/>
    <col min="116" max="119" width="5.1640625" bestFit="1" customWidth="1"/>
    <col min="120" max="120" width="4.1640625" bestFit="1" customWidth="1"/>
    <col min="121" max="123" width="5.1640625" bestFit="1" customWidth="1"/>
    <col min="124" max="124" width="4.1640625" bestFit="1" customWidth="1"/>
    <col min="125" max="127" width="5.1640625" bestFit="1" customWidth="1"/>
    <col min="128" max="131" width="4.1640625" bestFit="1" customWidth="1"/>
    <col min="132" max="135" width="5.1640625" bestFit="1" customWidth="1"/>
    <col min="136" max="137" width="4.1640625" bestFit="1" customWidth="1"/>
    <col min="138" max="138" width="5.1640625" bestFit="1" customWidth="1"/>
    <col min="139" max="140" width="4.1640625" bestFit="1" customWidth="1"/>
    <col min="141" max="147" width="5.1640625" bestFit="1" customWidth="1"/>
    <col min="148" max="148" width="4.1640625" bestFit="1" customWidth="1"/>
    <col min="149" max="156" width="5.1640625" bestFit="1" customWidth="1"/>
    <col min="157" max="157" width="4.1640625" bestFit="1" customWidth="1"/>
    <col min="158" max="160" width="5.1640625" bestFit="1" customWidth="1"/>
    <col min="161" max="161" width="4.1640625" bestFit="1" customWidth="1"/>
    <col min="162" max="166" width="5.1640625" bestFit="1" customWidth="1"/>
    <col min="167" max="168" width="4.1640625" bestFit="1" customWidth="1"/>
    <col min="169" max="172" width="5.1640625" bestFit="1" customWidth="1"/>
    <col min="173" max="174" width="4.1640625" bestFit="1" customWidth="1"/>
    <col min="175" max="180" width="5.1640625" bestFit="1" customWidth="1"/>
    <col min="181" max="181" width="4.1640625" bestFit="1" customWidth="1"/>
    <col min="182" max="184" width="5.1640625" bestFit="1" customWidth="1"/>
    <col min="185" max="185" width="4.1640625" bestFit="1" customWidth="1"/>
    <col min="186" max="194" width="5.1640625" bestFit="1" customWidth="1"/>
  </cols>
  <sheetData>
    <row r="1" spans="1:194" x14ac:dyDescent="0.2">
      <c r="A1" s="19" t="s">
        <v>225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94" x14ac:dyDescent="0.2">
      <c r="A2" s="23"/>
      <c r="B2" s="24" t="s">
        <v>228</v>
      </c>
      <c r="C2" s="24"/>
      <c r="D2" s="24"/>
      <c r="E2" s="24" t="s">
        <v>230</v>
      </c>
      <c r="F2" s="24"/>
      <c r="G2" s="24"/>
      <c r="H2" s="24" t="s">
        <v>229</v>
      </c>
      <c r="I2" s="24"/>
      <c r="J2" s="24"/>
      <c r="K2" s="23"/>
      <c r="L2" s="23"/>
      <c r="M2" s="23"/>
    </row>
    <row r="3" spans="1:194" x14ac:dyDescent="0.2">
      <c r="B3" s="17" t="s">
        <v>224</v>
      </c>
      <c r="C3" s="17"/>
      <c r="D3" s="20" t="s">
        <v>227</v>
      </c>
      <c r="E3" s="17" t="s">
        <v>224</v>
      </c>
      <c r="F3" s="17"/>
      <c r="G3" s="20" t="s">
        <v>227</v>
      </c>
      <c r="H3" s="17" t="s">
        <v>224</v>
      </c>
      <c r="I3" s="17"/>
      <c r="J3" s="20" t="s">
        <v>227</v>
      </c>
      <c r="K3" s="18" t="s">
        <v>226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</row>
    <row r="4" spans="1:194" ht="71" x14ac:dyDescent="0.2">
      <c r="B4" s="3" t="s">
        <v>222</v>
      </c>
      <c r="C4" s="2" t="s">
        <v>223</v>
      </c>
      <c r="D4" s="20"/>
      <c r="E4" s="3" t="s">
        <v>222</v>
      </c>
      <c r="F4" s="2" t="s">
        <v>223</v>
      </c>
      <c r="G4" s="20"/>
      <c r="H4" s="3" t="s">
        <v>222</v>
      </c>
      <c r="I4" s="2" t="s">
        <v>223</v>
      </c>
      <c r="J4" s="20"/>
      <c r="K4" s="2" t="s">
        <v>62</v>
      </c>
      <c r="L4" s="2" t="s">
        <v>167</v>
      </c>
      <c r="M4" s="2" t="s">
        <v>182</v>
      </c>
      <c r="N4" s="2" t="s">
        <v>67</v>
      </c>
      <c r="O4" s="2" t="s">
        <v>72</v>
      </c>
      <c r="P4" s="2" t="s">
        <v>87</v>
      </c>
      <c r="Q4" s="2" t="s">
        <v>171</v>
      </c>
      <c r="R4" s="2" t="s">
        <v>220</v>
      </c>
      <c r="S4" s="2" t="s">
        <v>113</v>
      </c>
      <c r="T4" s="2" t="s">
        <v>173</v>
      </c>
      <c r="U4" s="2" t="s">
        <v>213</v>
      </c>
      <c r="V4" s="2" t="s">
        <v>111</v>
      </c>
      <c r="W4" s="2" t="s">
        <v>42</v>
      </c>
      <c r="X4" s="2" t="s">
        <v>89</v>
      </c>
      <c r="Y4" s="2" t="s">
        <v>141</v>
      </c>
      <c r="Z4" s="2" t="s">
        <v>50</v>
      </c>
      <c r="AA4" s="2" t="s">
        <v>126</v>
      </c>
      <c r="AB4" s="2" t="s">
        <v>172</v>
      </c>
      <c r="AC4" s="2" t="s">
        <v>208</v>
      </c>
      <c r="AD4" s="2" t="s">
        <v>210</v>
      </c>
      <c r="AE4" s="2" t="s">
        <v>52</v>
      </c>
      <c r="AF4" s="2" t="s">
        <v>98</v>
      </c>
      <c r="AG4" s="2" t="s">
        <v>157</v>
      </c>
      <c r="AH4" s="2" t="s">
        <v>197</v>
      </c>
      <c r="AI4" s="2" t="s">
        <v>57</v>
      </c>
      <c r="AJ4" s="2" t="s">
        <v>121</v>
      </c>
      <c r="AK4" s="2" t="s">
        <v>155</v>
      </c>
      <c r="AL4" s="2" t="s">
        <v>198</v>
      </c>
      <c r="AM4" s="2" t="s">
        <v>53</v>
      </c>
      <c r="AN4" s="2" t="s">
        <v>119</v>
      </c>
      <c r="AO4" s="2" t="s">
        <v>115</v>
      </c>
      <c r="AP4" s="2" t="s">
        <v>66</v>
      </c>
      <c r="AQ4" s="2" t="s">
        <v>71</v>
      </c>
      <c r="AR4" s="2" t="s">
        <v>142</v>
      </c>
      <c r="AS4" s="2" t="s">
        <v>82</v>
      </c>
      <c r="AT4" s="2" t="s">
        <v>94</v>
      </c>
      <c r="AU4" s="2" t="s">
        <v>131</v>
      </c>
      <c r="AV4" s="2" t="s">
        <v>163</v>
      </c>
      <c r="AW4" s="2" t="s">
        <v>38</v>
      </c>
      <c r="AX4" s="2" t="s">
        <v>114</v>
      </c>
      <c r="AY4" s="2" t="s">
        <v>133</v>
      </c>
      <c r="AZ4" s="2" t="s">
        <v>204</v>
      </c>
      <c r="BA4" s="2" t="s">
        <v>77</v>
      </c>
      <c r="BB4" s="2" t="s">
        <v>139</v>
      </c>
      <c r="BC4" s="2" t="s">
        <v>140</v>
      </c>
      <c r="BD4" s="2" t="s">
        <v>206</v>
      </c>
      <c r="BE4" s="2" t="s">
        <v>176</v>
      </c>
      <c r="BF4" s="2" t="s">
        <v>85</v>
      </c>
      <c r="BG4" s="2" t="s">
        <v>138</v>
      </c>
      <c r="BH4" s="2" t="s">
        <v>216</v>
      </c>
      <c r="BI4" s="2" t="s">
        <v>79</v>
      </c>
      <c r="BJ4" s="2" t="s">
        <v>74</v>
      </c>
      <c r="BK4" s="2" t="s">
        <v>92</v>
      </c>
      <c r="BL4" s="2" t="s">
        <v>164</v>
      </c>
      <c r="BM4" s="2" t="s">
        <v>51</v>
      </c>
      <c r="BN4" s="2" t="s">
        <v>93</v>
      </c>
      <c r="BO4" s="2" t="s">
        <v>184</v>
      </c>
      <c r="BP4" s="2" t="s">
        <v>96</v>
      </c>
      <c r="BQ4" s="2" t="s">
        <v>41</v>
      </c>
      <c r="BR4" s="2" t="s">
        <v>48</v>
      </c>
      <c r="BS4" s="2" t="s">
        <v>151</v>
      </c>
      <c r="BT4" s="2" t="s">
        <v>205</v>
      </c>
      <c r="BU4" s="2" t="s">
        <v>99</v>
      </c>
      <c r="BV4" s="2" t="s">
        <v>56</v>
      </c>
      <c r="BW4" s="2" t="s">
        <v>199</v>
      </c>
      <c r="BX4" s="2" t="s">
        <v>175</v>
      </c>
      <c r="BY4" s="2" t="s">
        <v>193</v>
      </c>
      <c r="BZ4" s="2" t="s">
        <v>80</v>
      </c>
      <c r="CA4" s="2" t="s">
        <v>128</v>
      </c>
      <c r="CB4" s="2" t="s">
        <v>170</v>
      </c>
      <c r="CC4" s="2" t="s">
        <v>202</v>
      </c>
      <c r="CD4" s="2" t="s">
        <v>147</v>
      </c>
      <c r="CE4" s="2" t="s">
        <v>63</v>
      </c>
      <c r="CF4" s="2" t="s">
        <v>107</v>
      </c>
      <c r="CG4" s="2" t="s">
        <v>110</v>
      </c>
      <c r="CH4" s="2" t="s">
        <v>203</v>
      </c>
      <c r="CI4" s="2" t="s">
        <v>60</v>
      </c>
      <c r="CJ4" s="2" t="s">
        <v>105</v>
      </c>
      <c r="CK4" s="2" t="s">
        <v>144</v>
      </c>
      <c r="CL4" s="2" t="s">
        <v>183</v>
      </c>
      <c r="CM4" s="2" t="s">
        <v>192</v>
      </c>
      <c r="CN4" s="2" t="s">
        <v>61</v>
      </c>
      <c r="CO4" s="2" t="s">
        <v>88</v>
      </c>
      <c r="CP4" s="2" t="s">
        <v>40</v>
      </c>
      <c r="CQ4" s="2" t="s">
        <v>123</v>
      </c>
      <c r="CR4" s="2" t="s">
        <v>188</v>
      </c>
      <c r="CS4" s="2" t="s">
        <v>70</v>
      </c>
      <c r="CT4" s="2" t="s">
        <v>90</v>
      </c>
      <c r="CU4" s="2" t="s">
        <v>160</v>
      </c>
      <c r="CV4" s="2" t="s">
        <v>215</v>
      </c>
      <c r="CW4" s="2" t="s">
        <v>76</v>
      </c>
      <c r="CX4" s="2" t="s">
        <v>117</v>
      </c>
      <c r="CY4" s="2" t="s">
        <v>136</v>
      </c>
      <c r="CZ4" s="2" t="s">
        <v>47</v>
      </c>
      <c r="DA4" s="2" t="s">
        <v>100</v>
      </c>
      <c r="DB4" s="2" t="s">
        <v>127</v>
      </c>
      <c r="DC4" s="2" t="s">
        <v>214</v>
      </c>
      <c r="DD4" s="2" t="s">
        <v>218</v>
      </c>
      <c r="DE4" s="2" t="s">
        <v>83</v>
      </c>
      <c r="DF4" s="2" t="s">
        <v>86</v>
      </c>
      <c r="DG4" s="2" t="s">
        <v>166</v>
      </c>
      <c r="DH4" s="2" t="s">
        <v>178</v>
      </c>
      <c r="DI4" s="2" t="s">
        <v>45</v>
      </c>
      <c r="DJ4" s="2" t="s">
        <v>129</v>
      </c>
      <c r="DK4" s="2" t="s">
        <v>187</v>
      </c>
      <c r="DL4" s="2" t="s">
        <v>118</v>
      </c>
      <c r="DM4" s="2" t="s">
        <v>134</v>
      </c>
      <c r="DN4" s="2" t="s">
        <v>43</v>
      </c>
      <c r="DO4" s="2" t="s">
        <v>122</v>
      </c>
      <c r="DP4" s="2" t="s">
        <v>169</v>
      </c>
      <c r="DQ4" s="2" t="s">
        <v>180</v>
      </c>
      <c r="DR4" s="2" t="s">
        <v>81</v>
      </c>
      <c r="DS4" s="2" t="s">
        <v>84</v>
      </c>
      <c r="DT4" s="2" t="s">
        <v>162</v>
      </c>
      <c r="DU4" s="2" t="s">
        <v>186</v>
      </c>
      <c r="DV4" s="2" t="s">
        <v>143</v>
      </c>
      <c r="DW4" s="2" t="s">
        <v>78</v>
      </c>
      <c r="DX4" s="2" t="s">
        <v>212</v>
      </c>
      <c r="DY4" s="2" t="s">
        <v>73</v>
      </c>
      <c r="DZ4" s="2" t="s">
        <v>102</v>
      </c>
      <c r="EA4" s="2" t="s">
        <v>153</v>
      </c>
      <c r="EB4" s="2" t="s">
        <v>196</v>
      </c>
      <c r="EC4" s="2" t="s">
        <v>207</v>
      </c>
      <c r="ED4" s="2" t="s">
        <v>49</v>
      </c>
      <c r="EE4" s="2" t="s">
        <v>124</v>
      </c>
      <c r="EF4" s="2" t="s">
        <v>174</v>
      </c>
      <c r="EG4" s="2" t="s">
        <v>221</v>
      </c>
      <c r="EH4" s="2" t="s">
        <v>65</v>
      </c>
      <c r="EI4" s="2" t="s">
        <v>149</v>
      </c>
      <c r="EJ4" s="2" t="s">
        <v>135</v>
      </c>
      <c r="EK4" s="2" t="s">
        <v>219</v>
      </c>
      <c r="EL4" s="2" t="s">
        <v>44</v>
      </c>
      <c r="EM4" s="2" t="s">
        <v>91</v>
      </c>
      <c r="EN4" s="2" t="s">
        <v>112</v>
      </c>
      <c r="EO4" s="2" t="s">
        <v>130</v>
      </c>
      <c r="EP4" s="2" t="s">
        <v>209</v>
      </c>
      <c r="EQ4" s="2" t="s">
        <v>59</v>
      </c>
      <c r="ER4" s="2" t="s">
        <v>195</v>
      </c>
      <c r="ES4" s="2" t="s">
        <v>158</v>
      </c>
      <c r="ET4" s="2" t="s">
        <v>217</v>
      </c>
      <c r="EU4" s="2" t="s">
        <v>68</v>
      </c>
      <c r="EV4" s="2" t="s">
        <v>95</v>
      </c>
      <c r="EW4" s="2" t="s">
        <v>148</v>
      </c>
      <c r="EX4" s="2" t="s">
        <v>161</v>
      </c>
      <c r="EY4" s="2" t="s">
        <v>120</v>
      </c>
      <c r="EZ4" s="2" t="s">
        <v>145</v>
      </c>
      <c r="FA4" s="2" t="s">
        <v>177</v>
      </c>
      <c r="FB4" s="2" t="s">
        <v>191</v>
      </c>
      <c r="FC4" s="2" t="s">
        <v>64</v>
      </c>
      <c r="FD4" s="2" t="s">
        <v>125</v>
      </c>
      <c r="FE4" s="2" t="s">
        <v>159</v>
      </c>
      <c r="FF4" s="2" t="s">
        <v>181</v>
      </c>
      <c r="FG4" s="2" t="s">
        <v>69</v>
      </c>
      <c r="FH4" s="2" t="s">
        <v>101</v>
      </c>
      <c r="FI4" s="2" t="s">
        <v>137</v>
      </c>
      <c r="FJ4" s="2" t="s">
        <v>190</v>
      </c>
      <c r="FK4" s="2" t="s">
        <v>200</v>
      </c>
      <c r="FL4" s="2" t="s">
        <v>46</v>
      </c>
      <c r="FM4" s="2" t="s">
        <v>106</v>
      </c>
      <c r="FN4" s="2" t="s">
        <v>185</v>
      </c>
      <c r="FO4" s="2" t="s">
        <v>165</v>
      </c>
      <c r="FP4" s="2" t="s">
        <v>168</v>
      </c>
      <c r="FQ4" s="2" t="s">
        <v>179</v>
      </c>
      <c r="FR4" s="2" t="s">
        <v>109</v>
      </c>
      <c r="FS4" s="2" t="s">
        <v>39</v>
      </c>
      <c r="FT4" s="2" t="s">
        <v>189</v>
      </c>
      <c r="FU4" s="2" t="s">
        <v>146</v>
      </c>
      <c r="FV4" s="2" t="s">
        <v>194</v>
      </c>
      <c r="FW4" s="2" t="s">
        <v>54</v>
      </c>
      <c r="FX4" s="2" t="s">
        <v>150</v>
      </c>
      <c r="FY4" s="2" t="s">
        <v>211</v>
      </c>
      <c r="FZ4" s="2" t="s">
        <v>132</v>
      </c>
      <c r="GA4" s="2" t="s">
        <v>75</v>
      </c>
      <c r="GB4" s="2" t="s">
        <v>104</v>
      </c>
      <c r="GC4" s="2" t="s">
        <v>156</v>
      </c>
      <c r="GD4" s="2" t="s">
        <v>55</v>
      </c>
      <c r="GE4" s="2" t="s">
        <v>103</v>
      </c>
      <c r="GF4" s="2" t="s">
        <v>154</v>
      </c>
      <c r="GG4" s="2" t="s">
        <v>108</v>
      </c>
      <c r="GH4" s="2" t="s">
        <v>97</v>
      </c>
      <c r="GI4" s="2" t="s">
        <v>58</v>
      </c>
      <c r="GJ4" s="2" t="s">
        <v>116</v>
      </c>
      <c r="GK4" s="2" t="s">
        <v>152</v>
      </c>
      <c r="GL4" s="2" t="s">
        <v>201</v>
      </c>
    </row>
    <row r="5" spans="1:194" x14ac:dyDescent="0.2">
      <c r="A5" t="s">
        <v>10</v>
      </c>
      <c r="B5" s="21">
        <f>SUM(H5:H9)</f>
        <v>1.7250980392156862E-2</v>
      </c>
      <c r="C5" s="21">
        <f>SUM(I5:I9)</f>
        <v>5.7993265993265992E-2</v>
      </c>
      <c r="D5" s="21">
        <f>SUM(J5:J9)</f>
        <v>3.9172101449275361E-2</v>
      </c>
      <c r="E5" s="26">
        <f>SUM(H5:H8)</f>
        <v>1.7160784313725488E-2</v>
      </c>
      <c r="F5" s="26">
        <f>SUM(I5:I8)</f>
        <v>5.7764309764309761E-2</v>
      </c>
      <c r="G5" s="26">
        <f>SUM(J5:J8)</f>
        <v>3.9007246376811591E-2</v>
      </c>
      <c r="H5" s="5">
        <f>AVERAGE(K5:CQ5)/3000</f>
        <v>7.6862745098039205E-4</v>
      </c>
      <c r="I5" s="5">
        <f>AVERAGE(CR5:GL5)/3000</f>
        <v>1.7178451178451178E-2</v>
      </c>
      <c r="J5" s="5">
        <f>AVERAGE(K5:GL5)/3000</f>
        <v>9.5978260869565221E-3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18</v>
      </c>
      <c r="AJ5">
        <v>0</v>
      </c>
      <c r="AK5">
        <v>105</v>
      </c>
      <c r="AL5">
        <v>0</v>
      </c>
      <c r="AM5">
        <v>0</v>
      </c>
      <c r="AN5">
        <v>0</v>
      </c>
      <c r="AO5">
        <v>0</v>
      </c>
      <c r="AP5">
        <v>29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2</v>
      </c>
      <c r="BH5">
        <v>2</v>
      </c>
      <c r="BI5">
        <v>6</v>
      </c>
      <c r="BJ5">
        <v>3</v>
      </c>
      <c r="BK5">
        <v>1</v>
      </c>
      <c r="BL5">
        <v>0</v>
      </c>
      <c r="BM5">
        <v>0</v>
      </c>
      <c r="BN5">
        <v>7</v>
      </c>
      <c r="BO5">
        <v>0</v>
      </c>
      <c r="BP5">
        <v>0</v>
      </c>
      <c r="BQ5">
        <v>0</v>
      </c>
      <c r="BR5">
        <v>0</v>
      </c>
      <c r="BS5">
        <v>3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4</v>
      </c>
      <c r="CE5">
        <v>4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19</v>
      </c>
      <c r="CS5">
        <v>133</v>
      </c>
      <c r="CT5">
        <v>55</v>
      </c>
      <c r="CU5">
        <v>137</v>
      </c>
      <c r="CV5">
        <v>95</v>
      </c>
      <c r="CW5">
        <v>50</v>
      </c>
      <c r="CX5">
        <v>21</v>
      </c>
      <c r="CY5">
        <v>32</v>
      </c>
      <c r="CZ5">
        <v>141</v>
      </c>
      <c r="DA5">
        <v>10</v>
      </c>
      <c r="DB5">
        <v>28</v>
      </c>
      <c r="DC5">
        <v>44</v>
      </c>
      <c r="DD5">
        <v>40</v>
      </c>
      <c r="DE5">
        <v>32</v>
      </c>
      <c r="DF5">
        <v>30</v>
      </c>
      <c r="DG5">
        <v>38</v>
      </c>
      <c r="DH5">
        <v>20</v>
      </c>
      <c r="DI5">
        <v>35</v>
      </c>
      <c r="DJ5">
        <v>122</v>
      </c>
      <c r="DK5">
        <v>6</v>
      </c>
      <c r="DL5">
        <v>108</v>
      </c>
      <c r="DM5">
        <v>45</v>
      </c>
      <c r="DN5">
        <v>24</v>
      </c>
      <c r="DO5">
        <v>54</v>
      </c>
      <c r="DP5">
        <v>69</v>
      </c>
      <c r="DQ5">
        <v>96</v>
      </c>
      <c r="DR5">
        <v>81</v>
      </c>
      <c r="DS5">
        <v>105</v>
      </c>
      <c r="DT5">
        <v>122</v>
      </c>
      <c r="DU5">
        <v>131</v>
      </c>
      <c r="DV5">
        <v>191</v>
      </c>
      <c r="DW5">
        <v>61</v>
      </c>
      <c r="DX5">
        <v>55</v>
      </c>
      <c r="DY5">
        <v>171</v>
      </c>
      <c r="DZ5">
        <v>20</v>
      </c>
      <c r="EA5">
        <v>29</v>
      </c>
      <c r="EB5">
        <v>42</v>
      </c>
      <c r="EC5">
        <v>14</v>
      </c>
      <c r="ED5">
        <v>28</v>
      </c>
      <c r="EE5">
        <v>5</v>
      </c>
      <c r="EF5">
        <v>3</v>
      </c>
      <c r="EG5">
        <v>14</v>
      </c>
      <c r="EH5">
        <v>8</v>
      </c>
      <c r="EI5">
        <v>75</v>
      </c>
      <c r="EJ5">
        <v>17</v>
      </c>
      <c r="EK5">
        <v>25</v>
      </c>
      <c r="EL5">
        <v>12</v>
      </c>
      <c r="EM5">
        <v>35</v>
      </c>
      <c r="EN5">
        <v>25</v>
      </c>
      <c r="EO5">
        <v>116</v>
      </c>
      <c r="EP5">
        <v>0</v>
      </c>
      <c r="EQ5">
        <v>18</v>
      </c>
      <c r="ER5">
        <v>7</v>
      </c>
      <c r="ES5">
        <v>12</v>
      </c>
      <c r="ET5">
        <v>77</v>
      </c>
      <c r="EU5">
        <v>50</v>
      </c>
      <c r="EV5">
        <v>51</v>
      </c>
      <c r="EW5">
        <v>14</v>
      </c>
      <c r="EX5">
        <v>49</v>
      </c>
      <c r="EY5">
        <v>82</v>
      </c>
      <c r="EZ5">
        <v>46</v>
      </c>
      <c r="FA5">
        <v>92</v>
      </c>
      <c r="FB5">
        <v>39</v>
      </c>
      <c r="FC5">
        <v>36</v>
      </c>
      <c r="FD5">
        <v>60</v>
      </c>
      <c r="FE5">
        <v>72</v>
      </c>
      <c r="FF5">
        <v>26</v>
      </c>
      <c r="FG5">
        <v>56</v>
      </c>
      <c r="FH5">
        <v>23</v>
      </c>
      <c r="FI5">
        <v>33</v>
      </c>
      <c r="FJ5">
        <v>2</v>
      </c>
      <c r="FK5">
        <v>97</v>
      </c>
      <c r="FL5">
        <v>24</v>
      </c>
      <c r="FM5">
        <v>61</v>
      </c>
      <c r="FN5">
        <v>46</v>
      </c>
      <c r="FO5">
        <v>59</v>
      </c>
      <c r="FP5">
        <v>51</v>
      </c>
      <c r="FQ5">
        <v>39</v>
      </c>
      <c r="FR5">
        <v>96</v>
      </c>
      <c r="FS5">
        <v>56</v>
      </c>
      <c r="FT5">
        <v>45</v>
      </c>
      <c r="FU5">
        <v>11</v>
      </c>
      <c r="FV5">
        <v>12</v>
      </c>
      <c r="FW5">
        <v>22</v>
      </c>
      <c r="FX5">
        <v>25</v>
      </c>
      <c r="FY5">
        <v>116</v>
      </c>
      <c r="FZ5">
        <v>128</v>
      </c>
      <c r="GA5">
        <v>113</v>
      </c>
      <c r="GB5">
        <v>92</v>
      </c>
      <c r="GC5">
        <v>92</v>
      </c>
      <c r="GD5">
        <v>47</v>
      </c>
      <c r="GE5">
        <v>32</v>
      </c>
      <c r="GF5">
        <v>85</v>
      </c>
      <c r="GG5">
        <v>0</v>
      </c>
      <c r="GH5">
        <v>11</v>
      </c>
      <c r="GI5">
        <v>4</v>
      </c>
      <c r="GJ5">
        <v>5</v>
      </c>
      <c r="GK5">
        <v>2</v>
      </c>
      <c r="GL5">
        <v>17</v>
      </c>
    </row>
    <row r="6" spans="1:194" x14ac:dyDescent="0.2">
      <c r="A6" t="s">
        <v>29</v>
      </c>
      <c r="B6" s="22"/>
      <c r="C6" s="22"/>
      <c r="D6" s="22"/>
      <c r="E6" s="26"/>
      <c r="F6" s="26"/>
      <c r="G6" s="26"/>
      <c r="H6" s="5">
        <f t="shared" ref="H6:H42" si="0">AVERAGE(K6:CQ6)/3000</f>
        <v>2.6666666666666668E-4</v>
      </c>
      <c r="I6" s="5">
        <f t="shared" ref="I6:I42" si="1">AVERAGE(CR6:GL6)/3000</f>
        <v>5.4208754208754208E-4</v>
      </c>
      <c r="J6" s="5">
        <f t="shared" ref="J6:J42" si="2">AVERAGE(K6:GL6)/3000</f>
        <v>4.1485507246376817E-4</v>
      </c>
      <c r="K6">
        <v>0</v>
      </c>
      <c r="L6">
        <v>0</v>
      </c>
      <c r="M6">
        <v>0</v>
      </c>
      <c r="N6">
        <v>0</v>
      </c>
      <c r="O6">
        <v>19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18</v>
      </c>
      <c r="DP6">
        <v>0</v>
      </c>
      <c r="DQ6">
        <v>0</v>
      </c>
      <c r="DR6">
        <v>0</v>
      </c>
      <c r="DS6">
        <v>4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25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8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</row>
    <row r="7" spans="1:194" x14ac:dyDescent="0.2">
      <c r="A7" t="s">
        <v>6</v>
      </c>
      <c r="B7" s="22"/>
      <c r="C7" s="22"/>
      <c r="D7" s="22"/>
      <c r="E7" s="26"/>
      <c r="F7" s="26"/>
      <c r="G7" s="26"/>
      <c r="H7" s="5">
        <f t="shared" si="0"/>
        <v>1.403921568627451E-2</v>
      </c>
      <c r="I7" s="5">
        <f t="shared" si="1"/>
        <v>3.917171717171717E-2</v>
      </c>
      <c r="J7" s="5">
        <f t="shared" si="2"/>
        <v>2.756159420289855E-2</v>
      </c>
      <c r="K7">
        <v>66</v>
      </c>
      <c r="L7">
        <v>42</v>
      </c>
      <c r="M7">
        <v>13</v>
      </c>
      <c r="N7">
        <v>17</v>
      </c>
      <c r="O7">
        <v>36</v>
      </c>
      <c r="P7">
        <v>10</v>
      </c>
      <c r="Q7">
        <v>8</v>
      </c>
      <c r="R7">
        <v>8</v>
      </c>
      <c r="S7">
        <v>67</v>
      </c>
      <c r="T7">
        <v>81</v>
      </c>
      <c r="U7">
        <v>15</v>
      </c>
      <c r="V7">
        <v>70</v>
      </c>
      <c r="W7">
        <v>4</v>
      </c>
      <c r="X7">
        <v>16</v>
      </c>
      <c r="Y7">
        <v>10</v>
      </c>
      <c r="Z7">
        <v>8</v>
      </c>
      <c r="AA7">
        <v>37</v>
      </c>
      <c r="AB7">
        <v>10</v>
      </c>
      <c r="AC7">
        <v>20</v>
      </c>
      <c r="AD7">
        <v>8</v>
      </c>
      <c r="AE7">
        <v>18</v>
      </c>
      <c r="AF7">
        <v>26</v>
      </c>
      <c r="AG7">
        <v>212</v>
      </c>
      <c r="AH7">
        <v>32</v>
      </c>
      <c r="AI7">
        <v>24</v>
      </c>
      <c r="AJ7">
        <v>8</v>
      </c>
      <c r="AK7">
        <v>2</v>
      </c>
      <c r="AL7">
        <v>22</v>
      </c>
      <c r="AM7">
        <v>17</v>
      </c>
      <c r="AN7">
        <v>59</v>
      </c>
      <c r="AO7">
        <v>60</v>
      </c>
      <c r="AP7">
        <v>240</v>
      </c>
      <c r="AQ7">
        <v>11</v>
      </c>
      <c r="AR7">
        <v>26</v>
      </c>
      <c r="AS7">
        <v>28</v>
      </c>
      <c r="AT7">
        <v>32</v>
      </c>
      <c r="AU7">
        <v>14</v>
      </c>
      <c r="AV7">
        <v>69</v>
      </c>
      <c r="AW7">
        <v>19</v>
      </c>
      <c r="AX7">
        <v>48</v>
      </c>
      <c r="AY7">
        <v>4</v>
      </c>
      <c r="AZ7">
        <v>109</v>
      </c>
      <c r="BA7">
        <v>166</v>
      </c>
      <c r="BB7">
        <v>40</v>
      </c>
      <c r="BC7">
        <v>32</v>
      </c>
      <c r="BD7">
        <v>27</v>
      </c>
      <c r="BE7">
        <v>38</v>
      </c>
      <c r="BF7">
        <v>14</v>
      </c>
      <c r="BG7">
        <v>11</v>
      </c>
      <c r="BH7">
        <v>19</v>
      </c>
      <c r="BI7">
        <v>33</v>
      </c>
      <c r="BJ7">
        <v>56</v>
      </c>
      <c r="BK7">
        <v>58</v>
      </c>
      <c r="BL7">
        <v>54</v>
      </c>
      <c r="BM7">
        <v>24</v>
      </c>
      <c r="BN7">
        <v>283</v>
      </c>
      <c r="BO7">
        <v>65</v>
      </c>
      <c r="BP7">
        <v>17</v>
      </c>
      <c r="BQ7">
        <v>7</v>
      </c>
      <c r="BR7">
        <v>16</v>
      </c>
      <c r="BS7">
        <v>164</v>
      </c>
      <c r="BT7">
        <v>13</v>
      </c>
      <c r="BU7">
        <v>24</v>
      </c>
      <c r="BV7">
        <v>84</v>
      </c>
      <c r="BW7">
        <v>16</v>
      </c>
      <c r="BX7">
        <v>88</v>
      </c>
      <c r="BY7">
        <v>24</v>
      </c>
      <c r="BZ7">
        <v>18</v>
      </c>
      <c r="CA7">
        <v>138</v>
      </c>
      <c r="CB7">
        <v>20</v>
      </c>
      <c r="CC7">
        <v>21</v>
      </c>
      <c r="CD7">
        <v>23</v>
      </c>
      <c r="CE7">
        <v>25</v>
      </c>
      <c r="CF7">
        <v>32</v>
      </c>
      <c r="CG7">
        <v>1</v>
      </c>
      <c r="CH7">
        <v>31</v>
      </c>
      <c r="CI7">
        <v>22</v>
      </c>
      <c r="CJ7">
        <v>109</v>
      </c>
      <c r="CK7">
        <v>31</v>
      </c>
      <c r="CL7">
        <v>6</v>
      </c>
      <c r="CM7">
        <v>28</v>
      </c>
      <c r="CN7">
        <v>21</v>
      </c>
      <c r="CO7">
        <v>27</v>
      </c>
      <c r="CP7">
        <v>16</v>
      </c>
      <c r="CQ7">
        <v>12</v>
      </c>
      <c r="CR7">
        <v>65</v>
      </c>
      <c r="CS7">
        <v>77</v>
      </c>
      <c r="CT7">
        <v>154</v>
      </c>
      <c r="CU7">
        <v>158</v>
      </c>
      <c r="CV7">
        <v>63</v>
      </c>
      <c r="CW7">
        <v>187</v>
      </c>
      <c r="CX7">
        <v>85</v>
      </c>
      <c r="CY7">
        <v>39</v>
      </c>
      <c r="CZ7">
        <v>39</v>
      </c>
      <c r="DA7">
        <v>64</v>
      </c>
      <c r="DB7">
        <v>64</v>
      </c>
      <c r="DC7">
        <v>57</v>
      </c>
      <c r="DD7">
        <v>105</v>
      </c>
      <c r="DE7">
        <v>127</v>
      </c>
      <c r="DF7">
        <v>55</v>
      </c>
      <c r="DG7">
        <v>112</v>
      </c>
      <c r="DH7">
        <v>165</v>
      </c>
      <c r="DI7">
        <v>89</v>
      </c>
      <c r="DJ7">
        <v>236</v>
      </c>
      <c r="DK7">
        <v>45</v>
      </c>
      <c r="DL7">
        <v>214</v>
      </c>
      <c r="DM7">
        <v>65</v>
      </c>
      <c r="DN7">
        <v>55</v>
      </c>
      <c r="DO7">
        <v>253</v>
      </c>
      <c r="DP7">
        <v>244</v>
      </c>
      <c r="DQ7">
        <v>124</v>
      </c>
      <c r="DR7">
        <v>61</v>
      </c>
      <c r="DS7">
        <v>105</v>
      </c>
      <c r="DT7">
        <v>111</v>
      </c>
      <c r="DU7">
        <v>140</v>
      </c>
      <c r="DV7">
        <v>134</v>
      </c>
      <c r="DW7">
        <v>221</v>
      </c>
      <c r="DX7">
        <v>114</v>
      </c>
      <c r="DY7">
        <v>88</v>
      </c>
      <c r="DZ7">
        <v>85</v>
      </c>
      <c r="EA7">
        <v>82</v>
      </c>
      <c r="EB7">
        <v>36</v>
      </c>
      <c r="EC7">
        <v>47</v>
      </c>
      <c r="ED7">
        <v>44</v>
      </c>
      <c r="EE7">
        <v>83</v>
      </c>
      <c r="EF7">
        <v>50</v>
      </c>
      <c r="EG7">
        <v>179</v>
      </c>
      <c r="EH7">
        <v>183</v>
      </c>
      <c r="EI7">
        <v>88</v>
      </c>
      <c r="EJ7">
        <v>83</v>
      </c>
      <c r="EK7">
        <v>191</v>
      </c>
      <c r="EL7">
        <v>235</v>
      </c>
      <c r="EM7">
        <v>125</v>
      </c>
      <c r="EN7">
        <v>107</v>
      </c>
      <c r="EO7">
        <v>146</v>
      </c>
      <c r="EP7">
        <v>80</v>
      </c>
      <c r="EQ7">
        <v>62</v>
      </c>
      <c r="ER7">
        <v>80</v>
      </c>
      <c r="ES7">
        <v>88</v>
      </c>
      <c r="ET7">
        <v>144</v>
      </c>
      <c r="EU7">
        <v>107</v>
      </c>
      <c r="EV7">
        <v>106</v>
      </c>
      <c r="EW7">
        <v>138</v>
      </c>
      <c r="EX7">
        <v>217</v>
      </c>
      <c r="EY7">
        <v>217</v>
      </c>
      <c r="EZ7">
        <v>75</v>
      </c>
      <c r="FA7">
        <v>98</v>
      </c>
      <c r="FB7">
        <v>158</v>
      </c>
      <c r="FC7">
        <v>68</v>
      </c>
      <c r="FD7">
        <v>167</v>
      </c>
      <c r="FE7">
        <v>151</v>
      </c>
      <c r="FF7">
        <v>70</v>
      </c>
      <c r="FG7">
        <v>152</v>
      </c>
      <c r="FH7">
        <v>101</v>
      </c>
      <c r="FI7">
        <v>159</v>
      </c>
      <c r="FJ7">
        <v>46</v>
      </c>
      <c r="FK7">
        <v>129</v>
      </c>
      <c r="FL7">
        <v>24</v>
      </c>
      <c r="FM7">
        <v>299</v>
      </c>
      <c r="FN7">
        <v>61</v>
      </c>
      <c r="FO7">
        <v>73</v>
      </c>
      <c r="FP7">
        <v>99</v>
      </c>
      <c r="FQ7">
        <v>65</v>
      </c>
      <c r="FR7">
        <v>97</v>
      </c>
      <c r="FS7">
        <v>175</v>
      </c>
      <c r="FT7">
        <v>236</v>
      </c>
      <c r="FU7">
        <v>69</v>
      </c>
      <c r="FV7">
        <v>85</v>
      </c>
      <c r="FW7">
        <v>109</v>
      </c>
      <c r="FX7">
        <v>240</v>
      </c>
      <c r="FY7">
        <v>31</v>
      </c>
      <c r="FZ7">
        <v>141</v>
      </c>
      <c r="GA7">
        <v>106</v>
      </c>
      <c r="GB7">
        <v>292</v>
      </c>
      <c r="GC7">
        <v>111</v>
      </c>
      <c r="GD7">
        <v>158</v>
      </c>
      <c r="GE7">
        <v>128</v>
      </c>
      <c r="GF7">
        <v>92</v>
      </c>
      <c r="GG7">
        <v>83</v>
      </c>
      <c r="GH7">
        <v>47</v>
      </c>
      <c r="GI7">
        <v>108</v>
      </c>
      <c r="GJ7">
        <v>121</v>
      </c>
      <c r="GK7">
        <v>99</v>
      </c>
      <c r="GL7">
        <v>193</v>
      </c>
    </row>
    <row r="8" spans="1:194" x14ac:dyDescent="0.2">
      <c r="A8" t="s">
        <v>12</v>
      </c>
      <c r="B8" s="22"/>
      <c r="C8" s="22"/>
      <c r="D8" s="22"/>
      <c r="E8" s="26"/>
      <c r="F8" s="26"/>
      <c r="G8" s="26"/>
      <c r="H8" s="5">
        <f t="shared" si="0"/>
        <v>2.0862745098039217E-3</v>
      </c>
      <c r="I8" s="5">
        <f t="shared" si="1"/>
        <v>8.7205387205387217E-4</v>
      </c>
      <c r="J8" s="5">
        <f t="shared" si="2"/>
        <v>1.4329710144927537E-3</v>
      </c>
      <c r="K8">
        <v>19</v>
      </c>
      <c r="L8">
        <v>3</v>
      </c>
      <c r="M8">
        <v>6</v>
      </c>
      <c r="N8">
        <v>4</v>
      </c>
      <c r="O8">
        <v>0</v>
      </c>
      <c r="P8">
        <v>11</v>
      </c>
      <c r="Q8">
        <v>8</v>
      </c>
      <c r="R8">
        <v>5</v>
      </c>
      <c r="S8">
        <v>0</v>
      </c>
      <c r="T8">
        <v>4</v>
      </c>
      <c r="U8">
        <v>1</v>
      </c>
      <c r="V8">
        <v>0</v>
      </c>
      <c r="W8">
        <v>37</v>
      </c>
      <c r="X8">
        <v>0</v>
      </c>
      <c r="Y8">
        <v>0</v>
      </c>
      <c r="Z8">
        <v>5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145</v>
      </c>
      <c r="AH8">
        <v>0</v>
      </c>
      <c r="AI8">
        <v>25</v>
      </c>
      <c r="AJ8">
        <v>0</v>
      </c>
      <c r="AK8">
        <v>0</v>
      </c>
      <c r="AL8">
        <v>2</v>
      </c>
      <c r="AM8">
        <v>0</v>
      </c>
      <c r="AN8">
        <v>0</v>
      </c>
      <c r="AO8">
        <v>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5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14</v>
      </c>
      <c r="BN8">
        <v>0</v>
      </c>
      <c r="BO8">
        <v>100</v>
      </c>
      <c r="BP8">
        <v>0</v>
      </c>
      <c r="BQ8">
        <v>0</v>
      </c>
      <c r="BR8">
        <v>5</v>
      </c>
      <c r="BS8">
        <v>34</v>
      </c>
      <c r="BT8">
        <v>24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13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16</v>
      </c>
      <c r="CK8">
        <v>0</v>
      </c>
      <c r="CL8">
        <v>0</v>
      </c>
      <c r="CM8">
        <v>9</v>
      </c>
      <c r="CN8">
        <v>6</v>
      </c>
      <c r="CO8">
        <v>7</v>
      </c>
      <c r="CP8">
        <v>8</v>
      </c>
      <c r="CQ8">
        <v>0</v>
      </c>
      <c r="CR8">
        <v>0</v>
      </c>
      <c r="CS8">
        <v>0</v>
      </c>
      <c r="CT8">
        <v>22</v>
      </c>
      <c r="CU8">
        <v>0</v>
      </c>
      <c r="CV8">
        <v>1</v>
      </c>
      <c r="CW8">
        <v>5</v>
      </c>
      <c r="CX8">
        <v>26</v>
      </c>
      <c r="CY8">
        <v>0</v>
      </c>
      <c r="CZ8">
        <v>28</v>
      </c>
      <c r="DA8">
        <v>0</v>
      </c>
      <c r="DB8">
        <v>0</v>
      </c>
      <c r="DC8">
        <v>5</v>
      </c>
      <c r="DD8">
        <v>0</v>
      </c>
      <c r="DE8">
        <v>3</v>
      </c>
      <c r="DF8">
        <v>3</v>
      </c>
      <c r="DG8">
        <v>14</v>
      </c>
      <c r="DH8">
        <v>8</v>
      </c>
      <c r="DI8">
        <v>12</v>
      </c>
      <c r="DJ8">
        <v>0</v>
      </c>
      <c r="DK8">
        <v>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</v>
      </c>
      <c r="DS8">
        <v>0</v>
      </c>
      <c r="DT8">
        <v>0</v>
      </c>
      <c r="DU8">
        <v>0</v>
      </c>
      <c r="DV8">
        <v>0</v>
      </c>
      <c r="DW8">
        <v>0</v>
      </c>
      <c r="DX8">
        <v>4</v>
      </c>
      <c r="DY8">
        <v>0</v>
      </c>
      <c r="DZ8">
        <v>2</v>
      </c>
      <c r="EA8">
        <v>0</v>
      </c>
      <c r="EB8">
        <v>0</v>
      </c>
      <c r="EC8">
        <v>2</v>
      </c>
      <c r="ED8">
        <v>11</v>
      </c>
      <c r="EE8">
        <v>4</v>
      </c>
      <c r="EF8">
        <v>0</v>
      </c>
      <c r="EG8">
        <v>1</v>
      </c>
      <c r="EH8">
        <v>0</v>
      </c>
      <c r="EI8">
        <v>0</v>
      </c>
      <c r="EJ8">
        <v>2</v>
      </c>
      <c r="EK8">
        <v>1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</v>
      </c>
      <c r="EV8">
        <v>4</v>
      </c>
      <c r="EW8">
        <v>1</v>
      </c>
      <c r="EX8">
        <v>4</v>
      </c>
      <c r="EY8">
        <v>0</v>
      </c>
      <c r="EZ8">
        <v>0</v>
      </c>
      <c r="FA8">
        <v>0</v>
      </c>
      <c r="FB8">
        <v>2</v>
      </c>
      <c r="FC8">
        <v>0</v>
      </c>
      <c r="FD8">
        <v>0</v>
      </c>
      <c r="FE8">
        <v>3</v>
      </c>
      <c r="FF8">
        <v>10</v>
      </c>
      <c r="FG8">
        <v>2</v>
      </c>
      <c r="FH8">
        <v>3</v>
      </c>
      <c r="FI8">
        <v>7</v>
      </c>
      <c r="FJ8">
        <v>5</v>
      </c>
      <c r="FK8">
        <v>3</v>
      </c>
      <c r="FL8">
        <v>0</v>
      </c>
      <c r="FM8">
        <v>0</v>
      </c>
      <c r="FN8">
        <v>0</v>
      </c>
      <c r="FO8">
        <v>4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7</v>
      </c>
      <c r="FW8">
        <v>3</v>
      </c>
      <c r="FX8">
        <v>4</v>
      </c>
      <c r="FY8">
        <v>0</v>
      </c>
      <c r="FZ8">
        <v>0</v>
      </c>
      <c r="GA8">
        <v>0</v>
      </c>
      <c r="GB8">
        <v>15</v>
      </c>
      <c r="GC8">
        <v>0</v>
      </c>
      <c r="GD8">
        <v>0</v>
      </c>
      <c r="GE8">
        <v>0</v>
      </c>
      <c r="GF8">
        <v>0</v>
      </c>
      <c r="GG8">
        <v>9</v>
      </c>
      <c r="GH8">
        <v>0</v>
      </c>
      <c r="GI8">
        <v>0</v>
      </c>
      <c r="GJ8">
        <v>1</v>
      </c>
      <c r="GK8">
        <v>0</v>
      </c>
      <c r="GL8">
        <v>4</v>
      </c>
    </row>
    <row r="9" spans="1:194" x14ac:dyDescent="0.2">
      <c r="A9" t="s">
        <v>33</v>
      </c>
      <c r="B9" s="22"/>
      <c r="C9" s="22"/>
      <c r="D9" s="22"/>
      <c r="E9" s="27">
        <f>H9</f>
        <v>9.0196078431372537E-5</v>
      </c>
      <c r="F9" s="27">
        <f>I9</f>
        <v>2.2895622895622894E-4</v>
      </c>
      <c r="G9" s="27">
        <f>J9</f>
        <v>1.6485507246376811E-4</v>
      </c>
      <c r="H9" s="5">
        <f t="shared" si="0"/>
        <v>9.0196078431372537E-5</v>
      </c>
      <c r="I9" s="5">
        <f t="shared" si="1"/>
        <v>2.2895622895622894E-4</v>
      </c>
      <c r="J9" s="5">
        <f t="shared" si="2"/>
        <v>1.6485507246376811E-4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0</v>
      </c>
      <c r="BB9">
        <v>0</v>
      </c>
      <c r="BC9">
        <v>0</v>
      </c>
      <c r="BD9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6</v>
      </c>
      <c r="BL9">
        <v>0</v>
      </c>
      <c r="BM9">
        <v>6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3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7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45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6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4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2</v>
      </c>
    </row>
    <row r="10" spans="1:194" x14ac:dyDescent="0.2">
      <c r="A10" t="s">
        <v>25</v>
      </c>
      <c r="B10" s="21">
        <f>SUM(H10:H37)</f>
        <v>0.97718823529411769</v>
      </c>
      <c r="C10" s="21">
        <f>SUM(I10:I37)</f>
        <v>0.9376262626262627</v>
      </c>
      <c r="D10" s="21">
        <f>SUM(J10:J37)</f>
        <v>0.95590217391304344</v>
      </c>
      <c r="E10" s="25">
        <f>SUM(H10:H11)</f>
        <v>2.5960784313725492E-3</v>
      </c>
      <c r="F10" s="25">
        <f>SUM(I10:I11)</f>
        <v>1.6094276094276094E-3</v>
      </c>
      <c r="G10" s="25">
        <f>SUM(J10:J11)</f>
        <v>2.0652173913043477E-3</v>
      </c>
      <c r="H10" s="5">
        <f t="shared" si="0"/>
        <v>1.4470588235294117E-3</v>
      </c>
      <c r="I10" s="5">
        <f t="shared" si="1"/>
        <v>6.6666666666666664E-4</v>
      </c>
      <c r="J10" s="5">
        <f t="shared" si="2"/>
        <v>1.0271739130434782E-3</v>
      </c>
      <c r="K10">
        <v>2</v>
      </c>
      <c r="L10">
        <v>0</v>
      </c>
      <c r="M10">
        <v>0</v>
      </c>
      <c r="N10">
        <v>6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9</v>
      </c>
      <c r="Z10">
        <v>0</v>
      </c>
      <c r="AA10">
        <v>4</v>
      </c>
      <c r="AB10">
        <v>0</v>
      </c>
      <c r="AC10">
        <v>2</v>
      </c>
      <c r="AD10">
        <v>0</v>
      </c>
      <c r="AE10">
        <v>45</v>
      </c>
      <c r="AF10">
        <v>15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1</v>
      </c>
      <c r="AV10">
        <v>34</v>
      </c>
      <c r="AW10">
        <v>0</v>
      </c>
      <c r="AX10">
        <v>0</v>
      </c>
      <c r="AY10">
        <v>43</v>
      </c>
      <c r="AZ10">
        <v>0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29</v>
      </c>
      <c r="BO10">
        <v>0</v>
      </c>
      <c r="BP10">
        <v>0</v>
      </c>
      <c r="BQ10">
        <v>21</v>
      </c>
      <c r="BR10">
        <v>7</v>
      </c>
      <c r="BS10">
        <v>0</v>
      </c>
      <c r="BT10">
        <v>48</v>
      </c>
      <c r="BU10">
        <v>0</v>
      </c>
      <c r="BV10">
        <v>0</v>
      </c>
      <c r="BW10">
        <v>4</v>
      </c>
      <c r="BX10">
        <v>0</v>
      </c>
      <c r="BY10">
        <v>4</v>
      </c>
      <c r="BZ10">
        <v>0</v>
      </c>
      <c r="CA10">
        <v>0</v>
      </c>
      <c r="CB10">
        <v>0</v>
      </c>
      <c r="CC10">
        <v>7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5</v>
      </c>
      <c r="CJ10">
        <v>0</v>
      </c>
      <c r="CK10">
        <v>0</v>
      </c>
      <c r="CL10">
        <v>3</v>
      </c>
      <c r="CM10">
        <v>59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18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5</v>
      </c>
      <c r="DL10">
        <v>43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3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12</v>
      </c>
      <c r="EK10">
        <v>7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4</v>
      </c>
      <c r="ER10">
        <v>12</v>
      </c>
      <c r="ES10">
        <v>37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12</v>
      </c>
      <c r="GH10">
        <v>29</v>
      </c>
      <c r="GI10">
        <v>0</v>
      </c>
      <c r="GJ10">
        <v>0</v>
      </c>
      <c r="GK10">
        <v>0</v>
      </c>
      <c r="GL10">
        <v>0</v>
      </c>
    </row>
    <row r="11" spans="1:194" x14ac:dyDescent="0.2">
      <c r="A11" t="s">
        <v>17</v>
      </c>
      <c r="B11" s="22"/>
      <c r="C11" s="22"/>
      <c r="D11" s="22"/>
      <c r="E11" s="25"/>
      <c r="F11" s="25"/>
      <c r="G11" s="25"/>
      <c r="H11" s="5">
        <f t="shared" si="0"/>
        <v>1.1490196078431374E-3</v>
      </c>
      <c r="I11" s="5">
        <f t="shared" si="1"/>
        <v>9.4276094276094272E-4</v>
      </c>
      <c r="J11" s="5">
        <f t="shared" si="2"/>
        <v>1.0380434782608697E-3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0</v>
      </c>
      <c r="Z11">
        <v>0</v>
      </c>
      <c r="AA11">
        <v>0</v>
      </c>
      <c r="AB11">
        <v>0</v>
      </c>
      <c r="AC11">
        <v>37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36</v>
      </c>
      <c r="AJ11">
        <v>0</v>
      </c>
      <c r="AK11">
        <v>49</v>
      </c>
      <c r="AL11">
        <v>0</v>
      </c>
      <c r="AM11">
        <v>0</v>
      </c>
      <c r="AN11">
        <v>0</v>
      </c>
      <c r="AO11">
        <v>3</v>
      </c>
      <c r="AP11">
        <v>0</v>
      </c>
      <c r="AQ11">
        <v>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</v>
      </c>
      <c r="AX11">
        <v>0</v>
      </c>
      <c r="AY11">
        <v>19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</v>
      </c>
      <c r="BR11">
        <v>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113</v>
      </c>
      <c r="CN11">
        <v>0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18</v>
      </c>
      <c r="DC11">
        <v>0</v>
      </c>
      <c r="DD11">
        <v>0</v>
      </c>
      <c r="DE11">
        <v>0</v>
      </c>
      <c r="DF11">
        <v>0</v>
      </c>
      <c r="DG11">
        <v>2</v>
      </c>
      <c r="DH11">
        <v>3</v>
      </c>
      <c r="DI11">
        <v>0</v>
      </c>
      <c r="DJ11">
        <v>0</v>
      </c>
      <c r="DK11">
        <v>22</v>
      </c>
      <c r="DL11">
        <v>0</v>
      </c>
      <c r="DM11">
        <v>3</v>
      </c>
      <c r="DN11">
        <v>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23</v>
      </c>
      <c r="EG11">
        <v>0</v>
      </c>
      <c r="EH11">
        <v>0</v>
      </c>
      <c r="EI11">
        <v>5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2</v>
      </c>
      <c r="ER11">
        <v>5</v>
      </c>
      <c r="ES11">
        <v>11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134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26</v>
      </c>
      <c r="GH11">
        <v>15</v>
      </c>
      <c r="GI11">
        <v>0</v>
      </c>
      <c r="GJ11">
        <v>0</v>
      </c>
      <c r="GK11">
        <v>0</v>
      </c>
      <c r="GL11">
        <v>0</v>
      </c>
    </row>
    <row r="12" spans="1:194" x14ac:dyDescent="0.2">
      <c r="A12" t="s">
        <v>18</v>
      </c>
      <c r="B12" s="22"/>
      <c r="C12" s="22"/>
      <c r="D12" s="22"/>
      <c r="E12" s="27">
        <f t="shared" ref="E12:G18" si="3">H12</f>
        <v>1.6705882352941177E-3</v>
      </c>
      <c r="F12" s="27">
        <f t="shared" si="3"/>
        <v>2.8888888888888888E-3</v>
      </c>
      <c r="G12" s="27">
        <f t="shared" si="3"/>
        <v>2.3260869565217392E-3</v>
      </c>
      <c r="H12" s="5">
        <f t="shared" si="0"/>
        <v>1.6705882352941177E-3</v>
      </c>
      <c r="I12" s="5">
        <f t="shared" si="1"/>
        <v>2.8888888888888888E-3</v>
      </c>
      <c r="J12" s="5">
        <f t="shared" si="2"/>
        <v>2.3260869565217392E-3</v>
      </c>
      <c r="K12">
        <v>0</v>
      </c>
      <c r="L12">
        <v>84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26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28</v>
      </c>
      <c r="AI12">
        <v>0</v>
      </c>
      <c r="AJ12">
        <v>1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8</v>
      </c>
      <c r="AQ12">
        <v>0</v>
      </c>
      <c r="AR12">
        <v>15</v>
      </c>
      <c r="AS12">
        <v>0</v>
      </c>
      <c r="AT12">
        <v>0</v>
      </c>
      <c r="AU12">
        <v>0</v>
      </c>
      <c r="AV12">
        <v>6</v>
      </c>
      <c r="AW12">
        <v>0</v>
      </c>
      <c r="AX12">
        <v>13</v>
      </c>
      <c r="AY12">
        <v>1</v>
      </c>
      <c r="AZ12">
        <v>47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2</v>
      </c>
      <c r="BL12">
        <v>0</v>
      </c>
      <c r="BM12">
        <v>6</v>
      </c>
      <c r="BN12">
        <v>0</v>
      </c>
      <c r="BO12">
        <v>33</v>
      </c>
      <c r="BP12">
        <v>0</v>
      </c>
      <c r="BQ12">
        <v>0</v>
      </c>
      <c r="BR12">
        <v>1</v>
      </c>
      <c r="BS12">
        <v>114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5</v>
      </c>
      <c r="CB12">
        <v>0</v>
      </c>
      <c r="CC12">
        <v>2</v>
      </c>
      <c r="CD12">
        <v>0</v>
      </c>
      <c r="CE12">
        <v>14</v>
      </c>
      <c r="CF12">
        <v>1</v>
      </c>
      <c r="CG12">
        <v>0</v>
      </c>
      <c r="CH12">
        <v>1</v>
      </c>
      <c r="CI12">
        <v>2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72</v>
      </c>
      <c r="CS12">
        <v>3</v>
      </c>
      <c r="CT12">
        <v>2</v>
      </c>
      <c r="CU12">
        <v>9</v>
      </c>
      <c r="CV12">
        <v>4</v>
      </c>
      <c r="CW12">
        <v>52</v>
      </c>
      <c r="CX12">
        <v>18</v>
      </c>
      <c r="CY12">
        <v>0</v>
      </c>
      <c r="CZ12">
        <v>25</v>
      </c>
      <c r="DA12">
        <v>0</v>
      </c>
      <c r="DB12">
        <v>3</v>
      </c>
      <c r="DC12">
        <v>1</v>
      </c>
      <c r="DD12">
        <v>6</v>
      </c>
      <c r="DE12">
        <v>0</v>
      </c>
      <c r="DF12">
        <v>4</v>
      </c>
      <c r="DG12">
        <v>1</v>
      </c>
      <c r="DH12">
        <v>3</v>
      </c>
      <c r="DI12">
        <v>6</v>
      </c>
      <c r="DJ12">
        <v>7</v>
      </c>
      <c r="DK12">
        <v>0</v>
      </c>
      <c r="DL12">
        <v>20</v>
      </c>
      <c r="DM12">
        <v>0</v>
      </c>
      <c r="DN12">
        <v>2</v>
      </c>
      <c r="DO12">
        <v>45</v>
      </c>
      <c r="DP12">
        <v>6</v>
      </c>
      <c r="DQ12">
        <v>11</v>
      </c>
      <c r="DR12">
        <v>4</v>
      </c>
      <c r="DS12">
        <v>128</v>
      </c>
      <c r="DT12">
        <v>2</v>
      </c>
      <c r="DU12">
        <v>14</v>
      </c>
      <c r="DV12">
        <v>2</v>
      </c>
      <c r="DW12">
        <v>12</v>
      </c>
      <c r="DX12">
        <v>2</v>
      </c>
      <c r="DY12">
        <v>1</v>
      </c>
      <c r="DZ12">
        <v>32</v>
      </c>
      <c r="EA12">
        <v>5</v>
      </c>
      <c r="EB12">
        <v>2</v>
      </c>
      <c r="EC12">
        <v>1</v>
      </c>
      <c r="ED12">
        <v>0</v>
      </c>
      <c r="EE12">
        <v>4</v>
      </c>
      <c r="EF12">
        <v>1</v>
      </c>
      <c r="EG12">
        <v>24</v>
      </c>
      <c r="EH12">
        <v>15</v>
      </c>
      <c r="EI12">
        <v>0</v>
      </c>
      <c r="EJ12">
        <v>2</v>
      </c>
      <c r="EK12">
        <v>4</v>
      </c>
      <c r="EL12">
        <v>2</v>
      </c>
      <c r="EM12">
        <v>1</v>
      </c>
      <c r="EN12">
        <v>2</v>
      </c>
      <c r="EO12">
        <v>8</v>
      </c>
      <c r="EP12">
        <v>26</v>
      </c>
      <c r="EQ12">
        <v>0</v>
      </c>
      <c r="ER12">
        <v>10</v>
      </c>
      <c r="ES12">
        <v>4</v>
      </c>
      <c r="ET12">
        <v>0</v>
      </c>
      <c r="EU12">
        <v>1</v>
      </c>
      <c r="EV12">
        <v>1</v>
      </c>
      <c r="EW12">
        <v>1</v>
      </c>
      <c r="EX12">
        <v>2</v>
      </c>
      <c r="EY12">
        <v>22</v>
      </c>
      <c r="EZ12">
        <v>3</v>
      </c>
      <c r="FA12">
        <v>5</v>
      </c>
      <c r="FB12">
        <v>0</v>
      </c>
      <c r="FC12">
        <v>4</v>
      </c>
      <c r="FD12">
        <v>0</v>
      </c>
      <c r="FE12">
        <v>2</v>
      </c>
      <c r="FF12">
        <v>13</v>
      </c>
      <c r="FG12">
        <v>3</v>
      </c>
      <c r="FH12">
        <v>0</v>
      </c>
      <c r="FI12">
        <v>4</v>
      </c>
      <c r="FJ12">
        <v>4</v>
      </c>
      <c r="FK12">
        <v>2</v>
      </c>
      <c r="FL12">
        <v>11</v>
      </c>
      <c r="FM12">
        <v>1</v>
      </c>
      <c r="FN12">
        <v>14</v>
      </c>
      <c r="FO12">
        <v>3</v>
      </c>
      <c r="FP12">
        <v>2</v>
      </c>
      <c r="FQ12">
        <v>3</v>
      </c>
      <c r="FR12">
        <v>3</v>
      </c>
      <c r="FS12">
        <v>14</v>
      </c>
      <c r="FT12">
        <v>5</v>
      </c>
      <c r="FU12">
        <v>1</v>
      </c>
      <c r="FV12">
        <v>5</v>
      </c>
      <c r="FW12">
        <v>1</v>
      </c>
      <c r="FX12">
        <v>6</v>
      </c>
      <c r="FY12">
        <v>63</v>
      </c>
      <c r="FZ12">
        <v>10</v>
      </c>
      <c r="GA12">
        <v>9</v>
      </c>
      <c r="GB12">
        <v>0</v>
      </c>
      <c r="GC12">
        <v>0</v>
      </c>
      <c r="GD12">
        <v>1</v>
      </c>
      <c r="GE12">
        <v>0</v>
      </c>
      <c r="GF12">
        <v>3</v>
      </c>
      <c r="GG12">
        <v>17</v>
      </c>
      <c r="GH12">
        <v>1</v>
      </c>
      <c r="GI12">
        <v>1</v>
      </c>
      <c r="GJ12">
        <v>2</v>
      </c>
      <c r="GK12">
        <v>3</v>
      </c>
      <c r="GL12">
        <v>4</v>
      </c>
    </row>
    <row r="13" spans="1:194" x14ac:dyDescent="0.2">
      <c r="A13" t="s">
        <v>35</v>
      </c>
      <c r="B13" s="22"/>
      <c r="C13" s="22"/>
      <c r="D13" s="22"/>
      <c r="E13" s="27">
        <f t="shared" si="3"/>
        <v>1.0588235294117646E-4</v>
      </c>
      <c r="F13" s="27">
        <f t="shared" si="3"/>
        <v>0</v>
      </c>
      <c r="G13" s="27">
        <f t="shared" si="3"/>
        <v>4.8913043478260872E-5</v>
      </c>
      <c r="H13" s="5">
        <f t="shared" si="0"/>
        <v>1.0588235294117646E-4</v>
      </c>
      <c r="I13" s="5">
        <f t="shared" si="1"/>
        <v>0</v>
      </c>
      <c r="J13" s="5">
        <f t="shared" si="2"/>
        <v>4.8913043478260872E-5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</row>
    <row r="14" spans="1:194" x14ac:dyDescent="0.2">
      <c r="A14" t="s">
        <v>37</v>
      </c>
      <c r="B14" s="22"/>
      <c r="C14" s="22"/>
      <c r="D14" s="22"/>
      <c r="E14" s="27">
        <f t="shared" si="3"/>
        <v>6.666666666666667E-5</v>
      </c>
      <c r="F14" s="27">
        <f t="shared" si="3"/>
        <v>0</v>
      </c>
      <c r="G14" s="27">
        <f t="shared" si="3"/>
        <v>3.0797101449275362E-5</v>
      </c>
      <c r="H14" s="5">
        <f t="shared" si="0"/>
        <v>6.666666666666667E-5</v>
      </c>
      <c r="I14" s="5">
        <f t="shared" si="1"/>
        <v>0</v>
      </c>
      <c r="J14" s="5">
        <f t="shared" si="2"/>
        <v>3.0797101449275362E-5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</row>
    <row r="15" spans="1:194" x14ac:dyDescent="0.2">
      <c r="A15" t="s">
        <v>20</v>
      </c>
      <c r="B15" s="22"/>
      <c r="C15" s="22"/>
      <c r="D15" s="22"/>
      <c r="E15" s="27">
        <f t="shared" si="3"/>
        <v>4.768627450980392E-3</v>
      </c>
      <c r="F15" s="27">
        <f t="shared" si="3"/>
        <v>2.6969696969696972E-3</v>
      </c>
      <c r="G15" s="27">
        <f t="shared" si="3"/>
        <v>3.6539855072463771E-3</v>
      </c>
      <c r="H15" s="5">
        <f t="shared" si="0"/>
        <v>4.768627450980392E-3</v>
      </c>
      <c r="I15" s="5">
        <f t="shared" si="1"/>
        <v>2.6969696969696972E-3</v>
      </c>
      <c r="J15" s="5">
        <f t="shared" si="2"/>
        <v>3.6539855072463771E-3</v>
      </c>
      <c r="K15">
        <v>5</v>
      </c>
      <c r="L15">
        <v>458</v>
      </c>
      <c r="M15">
        <v>1</v>
      </c>
      <c r="N15">
        <v>0</v>
      </c>
      <c r="O15">
        <v>0</v>
      </c>
      <c r="P15">
        <v>29</v>
      </c>
      <c r="Q15">
        <v>0</v>
      </c>
      <c r="R15">
        <v>0</v>
      </c>
      <c r="S15">
        <v>0</v>
      </c>
      <c r="T15">
        <v>3</v>
      </c>
      <c r="U15">
        <v>0</v>
      </c>
      <c r="V15">
        <v>0</v>
      </c>
      <c r="W15">
        <v>6</v>
      </c>
      <c r="X15">
        <v>7</v>
      </c>
      <c r="Y15">
        <v>0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19</v>
      </c>
      <c r="AI15">
        <v>26</v>
      </c>
      <c r="AJ15">
        <v>0</v>
      </c>
      <c r="AK15">
        <v>0</v>
      </c>
      <c r="AL15">
        <v>0</v>
      </c>
      <c r="AM15">
        <v>165</v>
      </c>
      <c r="AN15">
        <v>0</v>
      </c>
      <c r="AO15">
        <v>7</v>
      </c>
      <c r="AP15">
        <v>3</v>
      </c>
      <c r="AQ15">
        <v>0</v>
      </c>
      <c r="AR15">
        <v>18</v>
      </c>
      <c r="AS15">
        <v>6</v>
      </c>
      <c r="AT15">
        <v>11</v>
      </c>
      <c r="AU15">
        <v>2</v>
      </c>
      <c r="AV15">
        <v>0</v>
      </c>
      <c r="AW15">
        <v>0</v>
      </c>
      <c r="AX15">
        <v>8</v>
      </c>
      <c r="AY15">
        <v>0</v>
      </c>
      <c r="AZ15">
        <v>0</v>
      </c>
      <c r="BA15">
        <v>0</v>
      </c>
      <c r="BB15">
        <v>13</v>
      </c>
      <c r="BC15">
        <v>0</v>
      </c>
      <c r="BD15">
        <v>0</v>
      </c>
      <c r="BE15">
        <v>35</v>
      </c>
      <c r="BF15">
        <v>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204</v>
      </c>
      <c r="BP15">
        <v>23</v>
      </c>
      <c r="BQ15">
        <v>0</v>
      </c>
      <c r="BR15">
        <v>0</v>
      </c>
      <c r="BS15">
        <v>24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64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1</v>
      </c>
      <c r="CI15">
        <v>0</v>
      </c>
      <c r="CJ15">
        <v>45</v>
      </c>
      <c r="CK15">
        <v>0</v>
      </c>
      <c r="CL15">
        <v>0</v>
      </c>
      <c r="CM15">
        <v>18</v>
      </c>
      <c r="CN15">
        <v>3</v>
      </c>
      <c r="CO15">
        <v>0</v>
      </c>
      <c r="CP15">
        <v>1</v>
      </c>
      <c r="CQ15">
        <v>0</v>
      </c>
      <c r="CR15">
        <v>226</v>
      </c>
      <c r="CS15">
        <v>56</v>
      </c>
      <c r="CT15">
        <v>0</v>
      </c>
      <c r="CU15">
        <v>0</v>
      </c>
      <c r="CV15">
        <v>0</v>
      </c>
      <c r="CW15">
        <v>59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16</v>
      </c>
      <c r="DK15">
        <v>62</v>
      </c>
      <c r="DL15">
        <v>0</v>
      </c>
      <c r="DM15">
        <v>8</v>
      </c>
      <c r="DN15">
        <v>5</v>
      </c>
      <c r="DO15">
        <v>0</v>
      </c>
      <c r="DP15">
        <v>0</v>
      </c>
      <c r="DQ15">
        <v>2</v>
      </c>
      <c r="DR15">
        <v>3</v>
      </c>
      <c r="DS15">
        <v>19</v>
      </c>
      <c r="DT15">
        <v>0</v>
      </c>
      <c r="DU15">
        <v>0</v>
      </c>
      <c r="DV15">
        <v>4</v>
      </c>
      <c r="DW15">
        <v>0</v>
      </c>
      <c r="DX15">
        <v>3</v>
      </c>
      <c r="DY15">
        <v>0</v>
      </c>
      <c r="DZ15">
        <v>44</v>
      </c>
      <c r="EA15">
        <v>0</v>
      </c>
      <c r="EB15">
        <v>11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98</v>
      </c>
      <c r="EQ15">
        <v>0</v>
      </c>
      <c r="ER15">
        <v>0</v>
      </c>
      <c r="ES15">
        <v>4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24</v>
      </c>
      <c r="EZ15">
        <v>0</v>
      </c>
      <c r="FA15">
        <v>95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1</v>
      </c>
      <c r="FI15">
        <v>1</v>
      </c>
      <c r="FJ15">
        <v>0</v>
      </c>
      <c r="FK15">
        <v>2</v>
      </c>
      <c r="FL15">
        <v>9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2</v>
      </c>
      <c r="GB15">
        <v>21</v>
      </c>
      <c r="GC15">
        <v>0</v>
      </c>
      <c r="GD15">
        <v>0</v>
      </c>
      <c r="GE15">
        <v>22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</row>
    <row r="16" spans="1:194" x14ac:dyDescent="0.2">
      <c r="A16" t="s">
        <v>28</v>
      </c>
      <c r="B16" s="22"/>
      <c r="C16" s="22"/>
      <c r="D16" s="22"/>
      <c r="E16" s="27">
        <f t="shared" si="3"/>
        <v>7.7647058823529416E-4</v>
      </c>
      <c r="F16" s="27">
        <f t="shared" si="3"/>
        <v>3.434343434343434E-4</v>
      </c>
      <c r="G16" s="27">
        <f t="shared" si="3"/>
        <v>5.4347826086956522E-4</v>
      </c>
      <c r="H16" s="5">
        <f t="shared" si="0"/>
        <v>7.7647058823529416E-4</v>
      </c>
      <c r="I16" s="5">
        <f t="shared" si="1"/>
        <v>3.434343434343434E-4</v>
      </c>
      <c r="J16" s="5">
        <f t="shared" si="2"/>
        <v>5.4347826086956522E-4</v>
      </c>
      <c r="K16">
        <v>0</v>
      </c>
      <c r="L16">
        <v>58</v>
      </c>
      <c r="M16">
        <v>0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5</v>
      </c>
      <c r="U16">
        <v>0</v>
      </c>
      <c r="V16">
        <v>4</v>
      </c>
      <c r="W16">
        <v>0</v>
      </c>
      <c r="X16">
        <v>0</v>
      </c>
      <c r="Y16">
        <v>5</v>
      </c>
      <c r="Z16">
        <v>19</v>
      </c>
      <c r="AA16">
        <v>0</v>
      </c>
      <c r="AB16">
        <v>0</v>
      </c>
      <c r="AC16">
        <v>0</v>
      </c>
      <c r="AD16">
        <v>13</v>
      </c>
      <c r="AE16">
        <v>0</v>
      </c>
      <c r="AF16">
        <v>0</v>
      </c>
      <c r="AG16">
        <v>0</v>
      </c>
      <c r="AH16">
        <v>0</v>
      </c>
      <c r="AI16">
        <v>33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</v>
      </c>
      <c r="BI16">
        <v>0</v>
      </c>
      <c r="BJ16">
        <v>0</v>
      </c>
      <c r="BK16">
        <v>0</v>
      </c>
      <c r="BL16">
        <v>0</v>
      </c>
      <c r="BM16">
        <v>9</v>
      </c>
      <c r="BN16">
        <v>0</v>
      </c>
      <c r="BO16">
        <v>20</v>
      </c>
      <c r="BP16">
        <v>0</v>
      </c>
      <c r="BQ16">
        <v>0</v>
      </c>
      <c r="BR16">
        <v>0</v>
      </c>
      <c r="BS16">
        <v>0</v>
      </c>
      <c r="BT16">
        <v>6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</v>
      </c>
      <c r="CQ16">
        <v>0</v>
      </c>
      <c r="CR16">
        <v>32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15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5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</row>
    <row r="17" spans="1:194" x14ac:dyDescent="0.2">
      <c r="A17" t="s">
        <v>11</v>
      </c>
      <c r="B17" s="22"/>
      <c r="C17" s="22"/>
      <c r="D17" s="22"/>
      <c r="E17" s="27">
        <f t="shared" si="3"/>
        <v>3.3725490196078432E-4</v>
      </c>
      <c r="F17" s="27">
        <f t="shared" si="3"/>
        <v>3.185185185185185E-3</v>
      </c>
      <c r="G17" s="27">
        <f t="shared" si="3"/>
        <v>1.8695652173913043E-3</v>
      </c>
      <c r="H17" s="5">
        <f t="shared" si="0"/>
        <v>3.3725490196078432E-4</v>
      </c>
      <c r="I17" s="5">
        <f t="shared" si="1"/>
        <v>3.185185185185185E-3</v>
      </c>
      <c r="J17" s="5">
        <f t="shared" si="2"/>
        <v>1.8695652173913043E-3</v>
      </c>
      <c r="K17">
        <v>0</v>
      </c>
      <c r="L17">
        <v>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43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942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</row>
    <row r="18" spans="1:194" x14ac:dyDescent="0.2">
      <c r="A18" t="s">
        <v>26</v>
      </c>
      <c r="B18" s="22"/>
      <c r="C18" s="22"/>
      <c r="D18" s="22"/>
      <c r="E18" s="27">
        <f>H18</f>
        <v>0</v>
      </c>
      <c r="F18" s="27">
        <f>I18</f>
        <v>5.2188552188552192E-4</v>
      </c>
      <c r="G18" s="27">
        <f>J18</f>
        <v>2.8079710144927536E-4</v>
      </c>
      <c r="H18" s="5">
        <f t="shared" si="0"/>
        <v>0</v>
      </c>
      <c r="I18" s="5">
        <f t="shared" si="1"/>
        <v>5.2188552188552192E-4</v>
      </c>
      <c r="J18" s="5">
        <f t="shared" si="2"/>
        <v>2.8079710144927536E-4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155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</row>
    <row r="19" spans="1:194" x14ac:dyDescent="0.2">
      <c r="A19" t="s">
        <v>23</v>
      </c>
      <c r="B19" s="22"/>
      <c r="C19" s="22"/>
      <c r="D19" s="22"/>
      <c r="E19" s="26">
        <f>SUM(H19:H20)</f>
        <v>4.9686274509803926E-3</v>
      </c>
      <c r="F19" s="26">
        <f>SUM(I19:I20)</f>
        <v>1.1717171717171718E-3</v>
      </c>
      <c r="G19" s="26">
        <f>SUM(J19:J20)</f>
        <v>2.9257246376811594E-3</v>
      </c>
      <c r="H19" s="5">
        <f t="shared" si="0"/>
        <v>3.4313725490196082E-3</v>
      </c>
      <c r="I19" s="5">
        <f t="shared" si="1"/>
        <v>1.1717171717171718E-3</v>
      </c>
      <c r="J19" s="5">
        <f t="shared" si="2"/>
        <v>2.2155797101449273E-3</v>
      </c>
      <c r="K19">
        <v>2</v>
      </c>
      <c r="L19">
        <v>4</v>
      </c>
      <c r="M19">
        <v>27</v>
      </c>
      <c r="N19">
        <v>3</v>
      </c>
      <c r="O19">
        <v>0</v>
      </c>
      <c r="P19">
        <v>0</v>
      </c>
      <c r="Q19">
        <v>5</v>
      </c>
      <c r="R19">
        <v>1</v>
      </c>
      <c r="S19">
        <v>79</v>
      </c>
      <c r="T19">
        <v>6</v>
      </c>
      <c r="U19">
        <v>6</v>
      </c>
      <c r="V19">
        <v>16</v>
      </c>
      <c r="W19">
        <v>24</v>
      </c>
      <c r="X19">
        <v>0</v>
      </c>
      <c r="Y19">
        <v>25</v>
      </c>
      <c r="Z19">
        <v>11</v>
      </c>
      <c r="AA19">
        <v>3</v>
      </c>
      <c r="AB19">
        <v>14</v>
      </c>
      <c r="AC19">
        <v>158</v>
      </c>
      <c r="AD19">
        <v>1</v>
      </c>
      <c r="AE19">
        <v>14</v>
      </c>
      <c r="AF19">
        <v>5</v>
      </c>
      <c r="AG19">
        <v>0</v>
      </c>
      <c r="AH19">
        <v>7</v>
      </c>
      <c r="AI19">
        <v>7</v>
      </c>
      <c r="AJ19">
        <v>0</v>
      </c>
      <c r="AK19">
        <v>21</v>
      </c>
      <c r="AL19">
        <v>7</v>
      </c>
      <c r="AM19">
        <v>1</v>
      </c>
      <c r="AN19">
        <v>3</v>
      </c>
      <c r="AO19">
        <v>5</v>
      </c>
      <c r="AP19">
        <v>0</v>
      </c>
      <c r="AQ19">
        <v>0</v>
      </c>
      <c r="AR19">
        <v>6</v>
      </c>
      <c r="AS19">
        <v>25</v>
      </c>
      <c r="AT19">
        <v>17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31</v>
      </c>
      <c r="BA19">
        <v>0</v>
      </c>
      <c r="BB19">
        <v>0</v>
      </c>
      <c r="BC19">
        <v>4</v>
      </c>
      <c r="BD19">
        <v>0</v>
      </c>
      <c r="BE19">
        <v>0</v>
      </c>
      <c r="BF19">
        <v>0</v>
      </c>
      <c r="BG19">
        <v>3</v>
      </c>
      <c r="BH19">
        <v>0</v>
      </c>
      <c r="BI19">
        <v>0</v>
      </c>
      <c r="BJ19">
        <v>0</v>
      </c>
      <c r="BK19">
        <v>0</v>
      </c>
      <c r="BL19">
        <v>26</v>
      </c>
      <c r="BM19">
        <v>11</v>
      </c>
      <c r="BN19">
        <v>0</v>
      </c>
      <c r="BO19">
        <v>0</v>
      </c>
      <c r="BP19">
        <v>15</v>
      </c>
      <c r="BQ19">
        <v>4</v>
      </c>
      <c r="BR19">
        <v>76</v>
      </c>
      <c r="BS19">
        <v>4</v>
      </c>
      <c r="BT19">
        <v>12</v>
      </c>
      <c r="BU19">
        <v>0</v>
      </c>
      <c r="BV19">
        <v>71</v>
      </c>
      <c r="BW19">
        <v>8</v>
      </c>
      <c r="BX19">
        <v>0</v>
      </c>
      <c r="BY19">
        <v>2</v>
      </c>
      <c r="BZ19">
        <v>0</v>
      </c>
      <c r="CA19">
        <v>7</v>
      </c>
      <c r="CB19">
        <v>3</v>
      </c>
      <c r="CC19">
        <v>6</v>
      </c>
      <c r="CD19">
        <v>0</v>
      </c>
      <c r="CE19">
        <v>4</v>
      </c>
      <c r="CF19">
        <v>8</v>
      </c>
      <c r="CG19">
        <v>0</v>
      </c>
      <c r="CH19">
        <v>6</v>
      </c>
      <c r="CI19">
        <v>5</v>
      </c>
      <c r="CJ19">
        <v>0</v>
      </c>
      <c r="CK19">
        <v>11</v>
      </c>
      <c r="CL19">
        <v>0</v>
      </c>
      <c r="CM19">
        <v>45</v>
      </c>
      <c r="CN19">
        <v>7</v>
      </c>
      <c r="CO19">
        <v>1</v>
      </c>
      <c r="CP19">
        <v>2</v>
      </c>
      <c r="CQ19">
        <v>0</v>
      </c>
      <c r="CR19">
        <v>130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3</v>
      </c>
      <c r="DH19">
        <v>8</v>
      </c>
      <c r="DI19">
        <v>24</v>
      </c>
      <c r="DJ19">
        <v>0</v>
      </c>
      <c r="DK19">
        <v>1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21</v>
      </c>
      <c r="DV19">
        <v>0</v>
      </c>
      <c r="DW19">
        <v>0</v>
      </c>
      <c r="DX19">
        <v>2</v>
      </c>
      <c r="DY19">
        <v>0</v>
      </c>
      <c r="DZ19">
        <v>0</v>
      </c>
      <c r="EA19">
        <v>3</v>
      </c>
      <c r="EB19">
        <v>0</v>
      </c>
      <c r="EC19">
        <v>0</v>
      </c>
      <c r="ED19">
        <v>0</v>
      </c>
      <c r="EE19">
        <v>2</v>
      </c>
      <c r="EF19">
        <v>3</v>
      </c>
      <c r="EG19">
        <v>6</v>
      </c>
      <c r="EH19">
        <v>0</v>
      </c>
      <c r="EI19">
        <v>0</v>
      </c>
      <c r="EJ19">
        <v>20</v>
      </c>
      <c r="EK19">
        <v>0</v>
      </c>
      <c r="EL19">
        <v>0</v>
      </c>
      <c r="EM19">
        <v>0</v>
      </c>
      <c r="EN19">
        <v>3</v>
      </c>
      <c r="EO19">
        <v>2</v>
      </c>
      <c r="EP19">
        <v>0</v>
      </c>
      <c r="EQ19">
        <v>8</v>
      </c>
      <c r="ER19">
        <v>23</v>
      </c>
      <c r="ES19">
        <v>19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28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2</v>
      </c>
      <c r="FF19">
        <v>7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6</v>
      </c>
      <c r="FU19">
        <v>3</v>
      </c>
      <c r="FV19">
        <v>2</v>
      </c>
      <c r="FW19">
        <v>0</v>
      </c>
      <c r="FX19">
        <v>3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3</v>
      </c>
      <c r="GK19">
        <v>0</v>
      </c>
      <c r="GL19">
        <v>10</v>
      </c>
    </row>
    <row r="20" spans="1:194" x14ac:dyDescent="0.2">
      <c r="A20" t="s">
        <v>15</v>
      </c>
      <c r="B20" s="22"/>
      <c r="C20" s="22"/>
      <c r="D20" s="22"/>
      <c r="E20" s="26"/>
      <c r="F20" s="26"/>
      <c r="G20" s="26"/>
      <c r="H20" s="5">
        <f t="shared" si="0"/>
        <v>1.5372549019607841E-3</v>
      </c>
      <c r="I20" s="5">
        <f t="shared" si="1"/>
        <v>0</v>
      </c>
      <c r="J20" s="5">
        <f t="shared" si="2"/>
        <v>7.1014492753623197E-4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392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</row>
    <row r="21" spans="1:194" x14ac:dyDescent="0.2">
      <c r="A21" s="1" t="s">
        <v>5</v>
      </c>
      <c r="B21" s="22"/>
      <c r="C21" s="22"/>
      <c r="D21" s="22"/>
      <c r="E21" s="28">
        <f>H21</f>
        <v>7.8431372549019607E-6</v>
      </c>
      <c r="F21" s="28">
        <f>I21</f>
        <v>2.5858585858585859E-3</v>
      </c>
      <c r="G21" s="28">
        <f>J21</f>
        <v>1.3949275362318842E-3</v>
      </c>
      <c r="H21" s="14">
        <f>AVERAGE(K21:CQ21)/3000</f>
        <v>7.8431372549019607E-6</v>
      </c>
      <c r="I21" s="14">
        <f t="shared" si="1"/>
        <v>2.5858585858585859E-3</v>
      </c>
      <c r="J21" s="14">
        <f t="shared" si="2"/>
        <v>1.3949275362318842E-3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3</v>
      </c>
      <c r="CU21" s="1">
        <v>0</v>
      </c>
      <c r="CV21" s="1">
        <v>3</v>
      </c>
      <c r="CW21" s="1">
        <v>0</v>
      </c>
      <c r="CX21" s="1">
        <v>0</v>
      </c>
      <c r="CY21" s="1">
        <v>110</v>
      </c>
      <c r="CZ21" s="1">
        <v>15</v>
      </c>
      <c r="DA21" s="1">
        <v>1</v>
      </c>
      <c r="DB21" s="1">
        <v>0</v>
      </c>
      <c r="DC21" s="1">
        <v>0</v>
      </c>
      <c r="DD21" s="1">
        <v>3</v>
      </c>
      <c r="DE21" s="1">
        <v>0</v>
      </c>
      <c r="DF21" s="1">
        <v>13</v>
      </c>
      <c r="DG21" s="1">
        <v>0</v>
      </c>
      <c r="DH21" s="1">
        <v>0</v>
      </c>
      <c r="DI21" s="1">
        <v>18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4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4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1</v>
      </c>
      <c r="EW21" s="1">
        <v>0</v>
      </c>
      <c r="EX21" s="1">
        <v>16</v>
      </c>
      <c r="EY21" s="1">
        <v>45</v>
      </c>
      <c r="EZ21" s="1">
        <v>1</v>
      </c>
      <c r="FA21" s="1">
        <v>0</v>
      </c>
      <c r="FB21" s="1">
        <v>0</v>
      </c>
      <c r="FC21" s="1">
        <v>40</v>
      </c>
      <c r="FD21" s="1">
        <v>0</v>
      </c>
      <c r="FE21" s="1">
        <v>0</v>
      </c>
      <c r="FF21" s="1">
        <v>2</v>
      </c>
      <c r="FG21" s="1">
        <v>2</v>
      </c>
      <c r="FH21" s="1">
        <v>1</v>
      </c>
      <c r="FI21" s="1">
        <v>0</v>
      </c>
      <c r="FJ21" s="1">
        <v>37</v>
      </c>
      <c r="FK21" s="1">
        <v>1</v>
      </c>
      <c r="FL21" s="1">
        <v>2</v>
      </c>
      <c r="FM21" s="1">
        <v>0</v>
      </c>
      <c r="FN21" s="1">
        <v>3</v>
      </c>
      <c r="FO21" s="1">
        <v>6</v>
      </c>
      <c r="FP21" s="1">
        <v>5</v>
      </c>
      <c r="FQ21" s="1">
        <v>3</v>
      </c>
      <c r="FR21" s="1">
        <v>30</v>
      </c>
      <c r="FS21" s="1">
        <v>2</v>
      </c>
      <c r="FT21" s="1">
        <v>0</v>
      </c>
      <c r="FU21" s="1">
        <v>10</v>
      </c>
      <c r="FV21" s="1">
        <v>38</v>
      </c>
      <c r="FW21" s="1">
        <v>12</v>
      </c>
      <c r="FX21" s="1">
        <v>19</v>
      </c>
      <c r="FY21" s="1">
        <v>0</v>
      </c>
      <c r="FZ21" s="1">
        <v>2</v>
      </c>
      <c r="GA21" s="1">
        <v>5</v>
      </c>
      <c r="GB21" s="1">
        <v>0</v>
      </c>
      <c r="GC21" s="1">
        <v>0</v>
      </c>
      <c r="GD21" s="1">
        <v>7</v>
      </c>
      <c r="GE21" s="1">
        <v>43</v>
      </c>
      <c r="GF21" s="1">
        <v>252</v>
      </c>
      <c r="GG21" s="1">
        <v>6</v>
      </c>
      <c r="GH21" s="1">
        <v>0</v>
      </c>
      <c r="GI21" s="1">
        <v>0</v>
      </c>
      <c r="GJ21" s="1">
        <v>2</v>
      </c>
      <c r="GK21" s="1">
        <v>0</v>
      </c>
      <c r="GL21" s="1">
        <v>0</v>
      </c>
    </row>
    <row r="22" spans="1:194" x14ac:dyDescent="0.2">
      <c r="A22" s="6" t="s">
        <v>3</v>
      </c>
      <c r="B22" s="22"/>
      <c r="C22" s="22"/>
      <c r="D22" s="22"/>
      <c r="E22" s="29">
        <f>SUM(H22:H24)</f>
        <v>0.3108313725490196</v>
      </c>
      <c r="F22" s="29">
        <f>SUM(I22:I24)</f>
        <v>0.41526262626262628</v>
      </c>
      <c r="G22" s="29">
        <f>SUM(J22:J24)</f>
        <v>0.36701992753623186</v>
      </c>
      <c r="H22" s="7">
        <f t="shared" si="0"/>
        <v>0.22955686274509804</v>
      </c>
      <c r="I22" s="7">
        <f t="shared" si="1"/>
        <v>0.39604377104377103</v>
      </c>
      <c r="J22" s="7">
        <f t="shared" si="2"/>
        <v>0.31913405797101452</v>
      </c>
      <c r="K22" s="6">
        <v>1171</v>
      </c>
      <c r="L22" s="6">
        <v>857</v>
      </c>
      <c r="M22" s="6">
        <v>1349</v>
      </c>
      <c r="N22" s="6">
        <v>1123</v>
      </c>
      <c r="O22" s="6">
        <v>935</v>
      </c>
      <c r="P22" s="6">
        <v>1184</v>
      </c>
      <c r="Q22" s="6">
        <v>1528</v>
      </c>
      <c r="R22" s="6">
        <v>1398</v>
      </c>
      <c r="S22" s="6">
        <v>442</v>
      </c>
      <c r="T22" s="6">
        <v>725</v>
      </c>
      <c r="U22" s="6">
        <v>1060</v>
      </c>
      <c r="V22" s="6">
        <v>407</v>
      </c>
      <c r="W22" s="6">
        <v>1301</v>
      </c>
      <c r="X22" s="6">
        <v>569</v>
      </c>
      <c r="Y22" s="6">
        <v>644</v>
      </c>
      <c r="Z22" s="6">
        <v>847</v>
      </c>
      <c r="AA22" s="6">
        <v>1397</v>
      </c>
      <c r="AB22" s="6">
        <v>907</v>
      </c>
      <c r="AC22" s="6">
        <v>200</v>
      </c>
      <c r="AD22" s="6">
        <v>349</v>
      </c>
      <c r="AE22" s="6">
        <v>280</v>
      </c>
      <c r="AF22" s="6">
        <v>326</v>
      </c>
      <c r="AG22" s="6">
        <v>600</v>
      </c>
      <c r="AH22" s="6">
        <v>430</v>
      </c>
      <c r="AI22" s="6">
        <v>442</v>
      </c>
      <c r="AJ22" s="6">
        <v>478</v>
      </c>
      <c r="AK22" s="6">
        <v>268</v>
      </c>
      <c r="AL22" s="6">
        <v>170</v>
      </c>
      <c r="AM22" s="6">
        <v>546</v>
      </c>
      <c r="AN22" s="6">
        <v>292</v>
      </c>
      <c r="AO22" s="6">
        <v>259</v>
      </c>
      <c r="AP22" s="6">
        <v>598</v>
      </c>
      <c r="AQ22" s="6">
        <v>299</v>
      </c>
      <c r="AR22" s="6">
        <v>433</v>
      </c>
      <c r="AS22" s="6">
        <v>304</v>
      </c>
      <c r="AT22" s="6">
        <v>367</v>
      </c>
      <c r="AU22" s="6">
        <v>771</v>
      </c>
      <c r="AV22" s="6">
        <v>547</v>
      </c>
      <c r="AW22" s="6">
        <v>242</v>
      </c>
      <c r="AX22" s="6">
        <v>584</v>
      </c>
      <c r="AY22" s="6">
        <v>393</v>
      </c>
      <c r="AZ22" s="6">
        <v>1069</v>
      </c>
      <c r="BA22" s="6">
        <v>486</v>
      </c>
      <c r="BB22" s="6">
        <v>524</v>
      </c>
      <c r="BC22" s="6">
        <v>443</v>
      </c>
      <c r="BD22" s="6">
        <v>327</v>
      </c>
      <c r="BE22" s="6">
        <v>349</v>
      </c>
      <c r="BF22" s="6">
        <v>308</v>
      </c>
      <c r="BG22" s="6">
        <v>1218</v>
      </c>
      <c r="BH22" s="6">
        <v>735</v>
      </c>
      <c r="BI22" s="6">
        <v>498</v>
      </c>
      <c r="BJ22" s="6">
        <v>504</v>
      </c>
      <c r="BK22" s="6">
        <v>750</v>
      </c>
      <c r="BL22" s="6">
        <v>953</v>
      </c>
      <c r="BM22" s="6">
        <v>971</v>
      </c>
      <c r="BN22" s="6">
        <v>328</v>
      </c>
      <c r="BO22" s="6">
        <v>599</v>
      </c>
      <c r="BP22" s="6">
        <v>812</v>
      </c>
      <c r="BQ22" s="6">
        <v>1032</v>
      </c>
      <c r="BR22" s="6">
        <v>410</v>
      </c>
      <c r="BS22" s="6">
        <v>726</v>
      </c>
      <c r="BT22" s="6">
        <v>792</v>
      </c>
      <c r="BU22" s="6">
        <v>288</v>
      </c>
      <c r="BV22" s="6">
        <v>416</v>
      </c>
      <c r="BW22" s="6">
        <v>373</v>
      </c>
      <c r="BX22" s="6">
        <v>473</v>
      </c>
      <c r="BY22" s="6">
        <v>390</v>
      </c>
      <c r="BZ22" s="6">
        <v>465</v>
      </c>
      <c r="CA22" s="6">
        <v>1313</v>
      </c>
      <c r="CB22" s="6">
        <v>873</v>
      </c>
      <c r="CC22" s="6">
        <v>490</v>
      </c>
      <c r="CD22" s="6">
        <v>715</v>
      </c>
      <c r="CE22" s="6">
        <v>529</v>
      </c>
      <c r="CF22" s="6">
        <v>656</v>
      </c>
      <c r="CG22" s="6">
        <v>471</v>
      </c>
      <c r="CH22" s="6">
        <v>645</v>
      </c>
      <c r="CI22" s="6">
        <v>582</v>
      </c>
      <c r="CJ22" s="6">
        <v>827</v>
      </c>
      <c r="CK22" s="6">
        <v>1320</v>
      </c>
      <c r="CL22" s="6">
        <v>1609</v>
      </c>
      <c r="CM22" s="6">
        <v>481</v>
      </c>
      <c r="CN22" s="6">
        <v>1301</v>
      </c>
      <c r="CO22" s="6">
        <v>1326</v>
      </c>
      <c r="CP22" s="6">
        <v>646</v>
      </c>
      <c r="CQ22" s="6">
        <v>1492</v>
      </c>
      <c r="CR22" s="6">
        <v>382</v>
      </c>
      <c r="CS22" s="6">
        <v>1194</v>
      </c>
      <c r="CT22" s="6">
        <v>1066</v>
      </c>
      <c r="CU22" s="6">
        <v>1480</v>
      </c>
      <c r="CV22" s="6">
        <v>1467</v>
      </c>
      <c r="CW22" s="6">
        <v>785</v>
      </c>
      <c r="CX22" s="6">
        <v>932</v>
      </c>
      <c r="CY22" s="6">
        <v>1153</v>
      </c>
      <c r="CZ22" s="6">
        <v>1081</v>
      </c>
      <c r="DA22" s="6">
        <v>1676</v>
      </c>
      <c r="DB22" s="6">
        <v>1466</v>
      </c>
      <c r="DC22" s="6">
        <v>1079</v>
      </c>
      <c r="DD22" s="6">
        <v>1046</v>
      </c>
      <c r="DE22" s="6">
        <v>1028</v>
      </c>
      <c r="DF22" s="6">
        <v>1098</v>
      </c>
      <c r="DG22" s="6">
        <v>981</v>
      </c>
      <c r="DH22" s="6">
        <v>583</v>
      </c>
      <c r="DI22" s="6">
        <v>1047</v>
      </c>
      <c r="DJ22" s="6">
        <v>1373</v>
      </c>
      <c r="DK22" s="6">
        <v>1079</v>
      </c>
      <c r="DL22" s="6">
        <v>1445</v>
      </c>
      <c r="DM22" s="6">
        <v>1164</v>
      </c>
      <c r="DN22" s="6">
        <v>1367</v>
      </c>
      <c r="DO22" s="6">
        <v>1096</v>
      </c>
      <c r="DP22" s="6">
        <v>1165</v>
      </c>
      <c r="DQ22" s="6">
        <v>1309</v>
      </c>
      <c r="DR22" s="6">
        <v>1562</v>
      </c>
      <c r="DS22" s="6">
        <v>1336</v>
      </c>
      <c r="DT22" s="6">
        <v>1285</v>
      </c>
      <c r="DU22" s="6">
        <v>1404</v>
      </c>
      <c r="DV22" s="6">
        <v>1603</v>
      </c>
      <c r="DW22" s="6">
        <v>921</v>
      </c>
      <c r="DX22" s="6">
        <v>874</v>
      </c>
      <c r="DY22" s="6">
        <v>1565</v>
      </c>
      <c r="DZ22" s="6">
        <v>1257</v>
      </c>
      <c r="EA22" s="6">
        <v>1376</v>
      </c>
      <c r="EB22" s="6">
        <v>1429</v>
      </c>
      <c r="EC22" s="6">
        <v>1459</v>
      </c>
      <c r="ED22" s="6">
        <v>1014</v>
      </c>
      <c r="EE22" s="6">
        <v>705</v>
      </c>
      <c r="EF22" s="6">
        <v>1148</v>
      </c>
      <c r="EG22" s="6">
        <v>1168</v>
      </c>
      <c r="EH22" s="6">
        <v>1205</v>
      </c>
      <c r="EI22" s="6">
        <v>1171</v>
      </c>
      <c r="EJ22" s="6">
        <v>973</v>
      </c>
      <c r="EK22" s="6">
        <v>1239</v>
      </c>
      <c r="EL22" s="6">
        <v>917</v>
      </c>
      <c r="EM22" s="6">
        <v>1407</v>
      </c>
      <c r="EN22" s="6">
        <v>1185</v>
      </c>
      <c r="EO22" s="6">
        <v>1279</v>
      </c>
      <c r="EP22" s="6">
        <v>1273</v>
      </c>
      <c r="EQ22" s="6">
        <v>908</v>
      </c>
      <c r="ER22" s="6">
        <v>864</v>
      </c>
      <c r="ES22" s="6">
        <v>728</v>
      </c>
      <c r="ET22" s="6">
        <v>1314</v>
      </c>
      <c r="EU22" s="6">
        <v>1315</v>
      </c>
      <c r="EV22" s="6">
        <v>1228</v>
      </c>
      <c r="EW22" s="6">
        <v>1197</v>
      </c>
      <c r="EX22" s="6">
        <v>1204</v>
      </c>
      <c r="EY22" s="6">
        <v>1043</v>
      </c>
      <c r="EZ22" s="6">
        <v>1438</v>
      </c>
      <c r="FA22" s="6">
        <v>1333</v>
      </c>
      <c r="FB22" s="6">
        <v>1175</v>
      </c>
      <c r="FC22" s="6">
        <v>1570</v>
      </c>
      <c r="FD22" s="6">
        <v>1023</v>
      </c>
      <c r="FE22" s="6">
        <v>1117</v>
      </c>
      <c r="FF22" s="6">
        <v>1084</v>
      </c>
      <c r="FG22" s="6">
        <v>1111</v>
      </c>
      <c r="FH22" s="6">
        <v>1133</v>
      </c>
      <c r="FI22" s="6">
        <v>1213</v>
      </c>
      <c r="FJ22" s="6">
        <v>1076</v>
      </c>
      <c r="FK22" s="6">
        <v>873</v>
      </c>
      <c r="FL22" s="6">
        <v>916</v>
      </c>
      <c r="FM22" s="6">
        <v>803</v>
      </c>
      <c r="FN22" s="6">
        <v>1525</v>
      </c>
      <c r="FO22" s="6">
        <v>1407</v>
      </c>
      <c r="FP22" s="6">
        <v>1657</v>
      </c>
      <c r="FQ22" s="6">
        <v>1489</v>
      </c>
      <c r="FR22" s="6">
        <v>1121</v>
      </c>
      <c r="FS22" s="6">
        <v>1376</v>
      </c>
      <c r="FT22" s="6">
        <v>1207</v>
      </c>
      <c r="FU22" s="6">
        <v>1956</v>
      </c>
      <c r="FV22" s="6">
        <v>971</v>
      </c>
      <c r="FW22" s="6">
        <v>1124</v>
      </c>
      <c r="FX22" s="6">
        <v>1000</v>
      </c>
      <c r="FY22" s="6">
        <v>843</v>
      </c>
      <c r="FZ22" s="6">
        <v>1778</v>
      </c>
      <c r="GA22" s="6">
        <v>1692</v>
      </c>
      <c r="GB22" s="6">
        <v>1342</v>
      </c>
      <c r="GC22" s="6">
        <v>965</v>
      </c>
      <c r="GD22" s="6">
        <v>1385</v>
      </c>
      <c r="GE22" s="6">
        <v>1211</v>
      </c>
      <c r="GF22" s="6">
        <v>1264</v>
      </c>
      <c r="GG22" s="6">
        <v>1141</v>
      </c>
      <c r="GH22" s="6">
        <v>729</v>
      </c>
      <c r="GI22" s="6">
        <v>1450</v>
      </c>
      <c r="GJ22" s="6">
        <v>1194</v>
      </c>
      <c r="GK22" s="6">
        <v>1037</v>
      </c>
      <c r="GL22" s="6">
        <v>798</v>
      </c>
    </row>
    <row r="23" spans="1:194" x14ac:dyDescent="0.2">
      <c r="A23" s="8" t="s">
        <v>2</v>
      </c>
      <c r="B23" s="22"/>
      <c r="C23" s="22"/>
      <c r="D23" s="22"/>
      <c r="E23" s="29"/>
      <c r="F23" s="29"/>
      <c r="G23" s="29"/>
      <c r="H23" s="9">
        <f t="shared" si="0"/>
        <v>7.952941176470589E-2</v>
      </c>
      <c r="I23" s="9">
        <f t="shared" si="1"/>
        <v>1.1427609427609427E-2</v>
      </c>
      <c r="J23" s="9">
        <f t="shared" si="2"/>
        <v>4.2887681159420293E-2</v>
      </c>
      <c r="K23" s="8">
        <v>45</v>
      </c>
      <c r="L23" s="8">
        <v>65</v>
      </c>
      <c r="M23" s="8">
        <v>35</v>
      </c>
      <c r="N23" s="8">
        <v>26</v>
      </c>
      <c r="O23" s="8">
        <v>53</v>
      </c>
      <c r="P23" s="8">
        <v>46</v>
      </c>
      <c r="Q23" s="8">
        <v>23</v>
      </c>
      <c r="R23" s="8">
        <v>27</v>
      </c>
      <c r="S23" s="8">
        <v>164</v>
      </c>
      <c r="T23" s="8">
        <v>112</v>
      </c>
      <c r="U23" s="8">
        <v>64</v>
      </c>
      <c r="V23" s="8">
        <v>311</v>
      </c>
      <c r="W23" s="8">
        <v>196</v>
      </c>
      <c r="X23" s="8">
        <v>240</v>
      </c>
      <c r="Y23" s="8">
        <v>133</v>
      </c>
      <c r="Z23" s="8">
        <v>76</v>
      </c>
      <c r="AA23" s="8">
        <v>52</v>
      </c>
      <c r="AB23" s="8">
        <v>19</v>
      </c>
      <c r="AC23" s="8">
        <v>399</v>
      </c>
      <c r="AD23" s="8">
        <v>54</v>
      </c>
      <c r="AE23" s="8">
        <v>285</v>
      </c>
      <c r="AF23" s="8">
        <v>246</v>
      </c>
      <c r="AG23" s="8">
        <v>21</v>
      </c>
      <c r="AH23" s="8">
        <v>374</v>
      </c>
      <c r="AI23" s="8">
        <v>261</v>
      </c>
      <c r="AJ23" s="8">
        <v>260</v>
      </c>
      <c r="AK23" s="8">
        <v>336</v>
      </c>
      <c r="AL23" s="8">
        <v>122</v>
      </c>
      <c r="AM23" s="8">
        <v>177</v>
      </c>
      <c r="AN23" s="8">
        <v>455</v>
      </c>
      <c r="AO23" s="8">
        <v>513</v>
      </c>
      <c r="AP23" s="8">
        <v>149</v>
      </c>
      <c r="AQ23" s="8">
        <v>454</v>
      </c>
      <c r="AR23" s="8">
        <v>489</v>
      </c>
      <c r="AS23" s="8">
        <v>392</v>
      </c>
      <c r="AT23" s="8">
        <v>199</v>
      </c>
      <c r="AU23" s="8">
        <v>156</v>
      </c>
      <c r="AV23" s="8">
        <v>463</v>
      </c>
      <c r="AW23" s="8">
        <v>517</v>
      </c>
      <c r="AX23" s="8">
        <v>112</v>
      </c>
      <c r="AY23" s="8">
        <v>325</v>
      </c>
      <c r="AZ23" s="8">
        <v>95</v>
      </c>
      <c r="BA23" s="8">
        <v>64</v>
      </c>
      <c r="BB23" s="8">
        <v>416</v>
      </c>
      <c r="BC23" s="8">
        <v>262</v>
      </c>
      <c r="BD23" s="8">
        <v>736</v>
      </c>
      <c r="BE23" s="8">
        <v>467</v>
      </c>
      <c r="BF23" s="8">
        <v>571</v>
      </c>
      <c r="BG23" s="8">
        <v>292</v>
      </c>
      <c r="BH23" s="8">
        <v>400</v>
      </c>
      <c r="BI23" s="8">
        <v>217</v>
      </c>
      <c r="BJ23" s="8">
        <v>270</v>
      </c>
      <c r="BK23" s="8">
        <v>200</v>
      </c>
      <c r="BL23" s="8">
        <v>386</v>
      </c>
      <c r="BM23" s="8">
        <v>141</v>
      </c>
      <c r="BN23" s="8">
        <v>671</v>
      </c>
      <c r="BO23" s="8">
        <v>678</v>
      </c>
      <c r="BP23" s="8">
        <v>358</v>
      </c>
      <c r="BQ23" s="8">
        <v>412</v>
      </c>
      <c r="BR23" s="8">
        <v>208</v>
      </c>
      <c r="BS23" s="8">
        <v>184</v>
      </c>
      <c r="BT23" s="8">
        <v>347</v>
      </c>
      <c r="BU23" s="8">
        <v>526</v>
      </c>
      <c r="BV23" s="8">
        <v>158</v>
      </c>
      <c r="BW23" s="8">
        <v>299</v>
      </c>
      <c r="BX23" s="8">
        <v>306</v>
      </c>
      <c r="BY23" s="8">
        <v>216</v>
      </c>
      <c r="BZ23" s="8">
        <v>339</v>
      </c>
      <c r="CA23" s="8">
        <v>29</v>
      </c>
      <c r="CB23" s="8">
        <v>296</v>
      </c>
      <c r="CC23" s="8">
        <v>213</v>
      </c>
      <c r="CD23" s="8">
        <v>374</v>
      </c>
      <c r="CE23" s="8">
        <v>279</v>
      </c>
      <c r="CF23" s="8">
        <v>188</v>
      </c>
      <c r="CG23" s="8">
        <v>454</v>
      </c>
      <c r="CH23" s="8">
        <v>227</v>
      </c>
      <c r="CI23" s="8">
        <v>105</v>
      </c>
      <c r="CJ23" s="8">
        <v>157</v>
      </c>
      <c r="CK23" s="8">
        <v>38</v>
      </c>
      <c r="CL23" s="8">
        <v>33</v>
      </c>
      <c r="CM23" s="8">
        <v>123</v>
      </c>
      <c r="CN23" s="8">
        <v>30</v>
      </c>
      <c r="CO23" s="8">
        <v>18</v>
      </c>
      <c r="CP23" s="8">
        <v>34</v>
      </c>
      <c r="CQ23" s="8">
        <v>17</v>
      </c>
      <c r="CR23" s="8">
        <v>14</v>
      </c>
      <c r="CS23" s="8">
        <v>45</v>
      </c>
      <c r="CT23" s="8">
        <v>53</v>
      </c>
      <c r="CU23" s="8">
        <v>28</v>
      </c>
      <c r="CV23" s="8">
        <v>18</v>
      </c>
      <c r="CW23" s="8">
        <v>99</v>
      </c>
      <c r="CX23" s="8">
        <v>78</v>
      </c>
      <c r="CY23" s="8">
        <v>34</v>
      </c>
      <c r="CZ23" s="8">
        <v>54</v>
      </c>
      <c r="DA23" s="8">
        <v>60</v>
      </c>
      <c r="DB23" s="8">
        <v>18</v>
      </c>
      <c r="DC23" s="8">
        <v>9</v>
      </c>
      <c r="DD23" s="8">
        <v>14</v>
      </c>
      <c r="DE23" s="8">
        <v>11</v>
      </c>
      <c r="DF23" s="8">
        <v>12</v>
      </c>
      <c r="DG23" s="8">
        <v>17</v>
      </c>
      <c r="DH23" s="8">
        <v>7</v>
      </c>
      <c r="DI23" s="8">
        <v>13</v>
      </c>
      <c r="DJ23" s="8">
        <v>52</v>
      </c>
      <c r="DK23" s="8">
        <v>30</v>
      </c>
      <c r="DL23" s="8">
        <v>0</v>
      </c>
      <c r="DM23" s="8">
        <v>21</v>
      </c>
      <c r="DN23" s="8">
        <v>20</v>
      </c>
      <c r="DO23" s="8">
        <v>70</v>
      </c>
      <c r="DP23" s="8">
        <v>303</v>
      </c>
      <c r="DQ23" s="8">
        <v>65</v>
      </c>
      <c r="DR23" s="8">
        <v>86</v>
      </c>
      <c r="DS23" s="8">
        <v>21</v>
      </c>
      <c r="DT23" s="8">
        <v>81</v>
      </c>
      <c r="DU23" s="8">
        <v>18</v>
      </c>
      <c r="DV23" s="8">
        <v>8</v>
      </c>
      <c r="DW23" s="8">
        <v>40</v>
      </c>
      <c r="DX23" s="8">
        <v>101</v>
      </c>
      <c r="DY23" s="8">
        <v>22</v>
      </c>
      <c r="DZ23" s="8">
        <v>92</v>
      </c>
      <c r="EA23" s="8">
        <v>65</v>
      </c>
      <c r="EB23" s="8">
        <v>32</v>
      </c>
      <c r="EC23" s="8">
        <v>37</v>
      </c>
      <c r="ED23" s="8">
        <v>8</v>
      </c>
      <c r="EE23" s="8">
        <v>35</v>
      </c>
      <c r="EF23" s="8">
        <v>19</v>
      </c>
      <c r="EG23" s="8">
        <v>14</v>
      </c>
      <c r="EH23" s="8">
        <v>51</v>
      </c>
      <c r="EI23" s="8">
        <v>26</v>
      </c>
      <c r="EJ23" s="8">
        <v>13</v>
      </c>
      <c r="EK23" s="8">
        <v>56</v>
      </c>
      <c r="EL23" s="8">
        <v>12</v>
      </c>
      <c r="EM23" s="8">
        <v>2</v>
      </c>
      <c r="EN23" s="8">
        <v>5</v>
      </c>
      <c r="EO23" s="8">
        <v>2</v>
      </c>
      <c r="EP23" s="8">
        <v>48</v>
      </c>
      <c r="EQ23" s="8">
        <v>44</v>
      </c>
      <c r="ER23" s="8">
        <v>21</v>
      </c>
      <c r="ES23" s="8">
        <v>21</v>
      </c>
      <c r="ET23" s="8">
        <v>53</v>
      </c>
      <c r="EU23" s="8">
        <v>8</v>
      </c>
      <c r="EV23" s="8">
        <v>10</v>
      </c>
      <c r="EW23" s="8">
        <v>24</v>
      </c>
      <c r="EX23" s="8">
        <v>33</v>
      </c>
      <c r="EY23" s="8">
        <v>30</v>
      </c>
      <c r="EZ23" s="8">
        <v>46</v>
      </c>
      <c r="FA23" s="8">
        <v>25</v>
      </c>
      <c r="FB23" s="8">
        <v>51</v>
      </c>
      <c r="FC23" s="8">
        <v>21</v>
      </c>
      <c r="FD23" s="8">
        <v>8</v>
      </c>
      <c r="FE23" s="8">
        <v>7</v>
      </c>
      <c r="FF23" s="8">
        <v>29</v>
      </c>
      <c r="FG23" s="8">
        <v>9</v>
      </c>
      <c r="FH23" s="8">
        <v>11</v>
      </c>
      <c r="FI23" s="8">
        <v>4</v>
      </c>
      <c r="FJ23" s="8">
        <v>20</v>
      </c>
      <c r="FK23" s="8">
        <v>6</v>
      </c>
      <c r="FL23" s="8">
        <v>48</v>
      </c>
      <c r="FM23" s="8">
        <v>37</v>
      </c>
      <c r="FN23" s="8">
        <v>22</v>
      </c>
      <c r="FO23" s="8">
        <v>54</v>
      </c>
      <c r="FP23" s="8">
        <v>29</v>
      </c>
      <c r="FQ23" s="8">
        <v>13</v>
      </c>
      <c r="FR23" s="8">
        <v>3</v>
      </c>
      <c r="FS23" s="8">
        <v>12</v>
      </c>
      <c r="FT23" s="8">
        <v>8</v>
      </c>
      <c r="FU23" s="8">
        <v>9</v>
      </c>
      <c r="FV23" s="8">
        <v>8</v>
      </c>
      <c r="FW23" s="8">
        <v>24</v>
      </c>
      <c r="FX23" s="8">
        <v>12</v>
      </c>
      <c r="FY23" s="8">
        <v>41</v>
      </c>
      <c r="FZ23" s="8">
        <v>17</v>
      </c>
      <c r="GA23" s="8">
        <v>23</v>
      </c>
      <c r="GB23" s="8">
        <v>44</v>
      </c>
      <c r="GC23" s="8">
        <v>76</v>
      </c>
      <c r="GD23" s="8">
        <v>56</v>
      </c>
      <c r="GE23" s="8">
        <v>21</v>
      </c>
      <c r="GF23" s="8">
        <v>97</v>
      </c>
      <c r="GG23" s="8">
        <v>123</v>
      </c>
      <c r="GH23" s="8">
        <v>39</v>
      </c>
      <c r="GI23" s="8">
        <v>12</v>
      </c>
      <c r="GJ23" s="8">
        <v>9</v>
      </c>
      <c r="GK23" s="8">
        <v>26</v>
      </c>
      <c r="GL23" s="8">
        <v>11</v>
      </c>
    </row>
    <row r="24" spans="1:194" x14ac:dyDescent="0.2">
      <c r="A24" t="s">
        <v>7</v>
      </c>
      <c r="B24" s="22"/>
      <c r="C24" s="22"/>
      <c r="D24" s="22"/>
      <c r="E24" s="29"/>
      <c r="F24" s="29"/>
      <c r="G24" s="29"/>
      <c r="H24" s="5">
        <f t="shared" si="0"/>
        <v>1.7450980392156863E-3</v>
      </c>
      <c r="I24" s="5">
        <f t="shared" si="1"/>
        <v>7.7912457912457916E-3</v>
      </c>
      <c r="J24" s="5">
        <f t="shared" si="2"/>
        <v>4.9981884057971014E-3</v>
      </c>
      <c r="K24">
        <v>12</v>
      </c>
      <c r="L24">
        <v>16</v>
      </c>
      <c r="M24">
        <v>10</v>
      </c>
      <c r="N24">
        <v>15</v>
      </c>
      <c r="O24">
        <v>0</v>
      </c>
      <c r="P24">
        <v>5</v>
      </c>
      <c r="Q24">
        <v>2</v>
      </c>
      <c r="R24">
        <v>3</v>
      </c>
      <c r="S24">
        <v>0</v>
      </c>
      <c r="T24">
        <v>16</v>
      </c>
      <c r="U24">
        <v>7</v>
      </c>
      <c r="V24">
        <v>0</v>
      </c>
      <c r="W24">
        <v>0</v>
      </c>
      <c r="X24">
        <v>1</v>
      </c>
      <c r="Y24">
        <v>8</v>
      </c>
      <c r="Z24">
        <v>21</v>
      </c>
      <c r="AA24">
        <v>2</v>
      </c>
      <c r="AB24">
        <v>5</v>
      </c>
      <c r="AC24">
        <v>1</v>
      </c>
      <c r="AD24">
        <v>0</v>
      </c>
      <c r="AE24">
        <v>15</v>
      </c>
      <c r="AF24">
        <v>0</v>
      </c>
      <c r="AG24">
        <v>0</v>
      </c>
      <c r="AH24">
        <v>0</v>
      </c>
      <c r="AI24">
        <v>11</v>
      </c>
      <c r="AJ24">
        <v>1</v>
      </c>
      <c r="AK24">
        <v>20</v>
      </c>
      <c r="AL24">
        <v>0</v>
      </c>
      <c r="AM24">
        <v>0</v>
      </c>
      <c r="AN24">
        <v>4</v>
      </c>
      <c r="AO24">
        <v>0</v>
      </c>
      <c r="AP24">
        <v>0</v>
      </c>
      <c r="AQ24">
        <v>3</v>
      </c>
      <c r="AR24">
        <v>10</v>
      </c>
      <c r="AS24">
        <v>0</v>
      </c>
      <c r="AT24">
        <v>0</v>
      </c>
      <c r="AU24">
        <v>0</v>
      </c>
      <c r="AV24">
        <v>40</v>
      </c>
      <c r="AW24">
        <v>7</v>
      </c>
      <c r="AX24">
        <v>16</v>
      </c>
      <c r="AY24">
        <v>0</v>
      </c>
      <c r="AZ24">
        <v>21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5</v>
      </c>
      <c r="BG24">
        <v>0</v>
      </c>
      <c r="BH24">
        <v>3</v>
      </c>
      <c r="BI24">
        <v>0</v>
      </c>
      <c r="BJ24">
        <v>3</v>
      </c>
      <c r="BK24">
        <v>0</v>
      </c>
      <c r="BL24">
        <v>42</v>
      </c>
      <c r="BM24">
        <v>0</v>
      </c>
      <c r="BN24">
        <v>0</v>
      </c>
      <c r="BO24">
        <v>0</v>
      </c>
      <c r="BP24">
        <v>6</v>
      </c>
      <c r="BQ24">
        <v>0</v>
      </c>
      <c r="BR24">
        <v>11</v>
      </c>
      <c r="BS24">
        <v>13</v>
      </c>
      <c r="BT24">
        <v>2</v>
      </c>
      <c r="BU24">
        <v>7</v>
      </c>
      <c r="BV24">
        <v>0</v>
      </c>
      <c r="BW24">
        <v>3</v>
      </c>
      <c r="BX24">
        <v>0</v>
      </c>
      <c r="BY24">
        <v>0</v>
      </c>
      <c r="BZ24">
        <v>3</v>
      </c>
      <c r="CA24">
        <v>0</v>
      </c>
      <c r="CB24">
        <v>3</v>
      </c>
      <c r="CC24">
        <v>1</v>
      </c>
      <c r="CD24">
        <v>0</v>
      </c>
      <c r="CE24">
        <v>17</v>
      </c>
      <c r="CF24">
        <v>4</v>
      </c>
      <c r="CG24">
        <v>0</v>
      </c>
      <c r="CH24">
        <v>3</v>
      </c>
      <c r="CI24">
        <v>3</v>
      </c>
      <c r="CJ24">
        <v>4</v>
      </c>
      <c r="CK24">
        <v>0</v>
      </c>
      <c r="CL24">
        <v>3</v>
      </c>
      <c r="CM24">
        <v>0</v>
      </c>
      <c r="CN24">
        <v>27</v>
      </c>
      <c r="CO24">
        <v>2</v>
      </c>
      <c r="CP24">
        <v>8</v>
      </c>
      <c r="CQ24">
        <v>0</v>
      </c>
      <c r="CR24">
        <v>1</v>
      </c>
      <c r="CS24">
        <v>47</v>
      </c>
      <c r="CT24">
        <v>11</v>
      </c>
      <c r="CU24">
        <v>4</v>
      </c>
      <c r="CV24">
        <v>11</v>
      </c>
      <c r="CW24">
        <v>139</v>
      </c>
      <c r="CX24">
        <v>15</v>
      </c>
      <c r="CY24">
        <v>41</v>
      </c>
      <c r="CZ24">
        <v>4</v>
      </c>
      <c r="DA24">
        <v>9</v>
      </c>
      <c r="DB24">
        <v>21</v>
      </c>
      <c r="DC24">
        <v>18</v>
      </c>
      <c r="DD24">
        <v>12</v>
      </c>
      <c r="DE24">
        <v>17</v>
      </c>
      <c r="DF24">
        <v>15</v>
      </c>
      <c r="DG24">
        <v>36</v>
      </c>
      <c r="DH24">
        <v>29</v>
      </c>
      <c r="DI24">
        <v>10</v>
      </c>
      <c r="DJ24">
        <v>4</v>
      </c>
      <c r="DK24">
        <v>24</v>
      </c>
      <c r="DL24">
        <v>0</v>
      </c>
      <c r="DM24">
        <v>4</v>
      </c>
      <c r="DN24">
        <v>4</v>
      </c>
      <c r="DO24">
        <v>61</v>
      </c>
      <c r="DP24">
        <v>13</v>
      </c>
      <c r="DQ24">
        <v>1</v>
      </c>
      <c r="DR24">
        <v>14</v>
      </c>
      <c r="DS24">
        <v>0</v>
      </c>
      <c r="DT24">
        <v>17</v>
      </c>
      <c r="DU24">
        <v>14</v>
      </c>
      <c r="DV24">
        <v>9</v>
      </c>
      <c r="DW24">
        <v>6</v>
      </c>
      <c r="DX24">
        <v>14</v>
      </c>
      <c r="DY24">
        <v>4</v>
      </c>
      <c r="DZ24">
        <v>24</v>
      </c>
      <c r="EA24">
        <v>4</v>
      </c>
      <c r="EB24">
        <v>0</v>
      </c>
      <c r="EC24">
        <v>5</v>
      </c>
      <c r="ED24">
        <v>14</v>
      </c>
      <c r="EE24">
        <v>29</v>
      </c>
      <c r="EF24">
        <v>12</v>
      </c>
      <c r="EG24">
        <v>5</v>
      </c>
      <c r="EH24">
        <v>0</v>
      </c>
      <c r="EI24">
        <v>41</v>
      </c>
      <c r="EJ24">
        <v>40</v>
      </c>
      <c r="EK24">
        <v>40</v>
      </c>
      <c r="EL24">
        <v>14</v>
      </c>
      <c r="EM24">
        <v>10</v>
      </c>
      <c r="EN24">
        <v>20</v>
      </c>
      <c r="EO24">
        <v>15</v>
      </c>
      <c r="EP24">
        <v>18</v>
      </c>
      <c r="EQ24">
        <v>44</v>
      </c>
      <c r="ER24">
        <v>43</v>
      </c>
      <c r="ES24">
        <v>39</v>
      </c>
      <c r="ET24">
        <v>19</v>
      </c>
      <c r="EU24">
        <v>16</v>
      </c>
      <c r="EV24">
        <v>11</v>
      </c>
      <c r="EW24">
        <v>26</v>
      </c>
      <c r="EX24">
        <v>18</v>
      </c>
      <c r="EY24">
        <v>56</v>
      </c>
      <c r="EZ24">
        <v>34</v>
      </c>
      <c r="FA24">
        <v>118</v>
      </c>
      <c r="FB24">
        <v>7</v>
      </c>
      <c r="FC24">
        <v>9</v>
      </c>
      <c r="FD24">
        <v>22</v>
      </c>
      <c r="FE24">
        <v>18</v>
      </c>
      <c r="FF24">
        <v>17</v>
      </c>
      <c r="FG24">
        <v>12</v>
      </c>
      <c r="FH24">
        <v>27</v>
      </c>
      <c r="FI24">
        <v>15</v>
      </c>
      <c r="FJ24">
        <v>26</v>
      </c>
      <c r="FK24">
        <v>18</v>
      </c>
      <c r="FL24">
        <v>33</v>
      </c>
      <c r="FM24">
        <v>28</v>
      </c>
      <c r="FN24">
        <v>25</v>
      </c>
      <c r="FO24">
        <v>20</v>
      </c>
      <c r="FP24">
        <v>18</v>
      </c>
      <c r="FQ24">
        <v>23</v>
      </c>
      <c r="FR24">
        <v>11</v>
      </c>
      <c r="FS24">
        <v>40</v>
      </c>
      <c r="FT24">
        <v>25</v>
      </c>
      <c r="FU24">
        <v>17</v>
      </c>
      <c r="FV24">
        <v>27</v>
      </c>
      <c r="FW24">
        <v>17</v>
      </c>
      <c r="FX24">
        <v>27</v>
      </c>
      <c r="FY24">
        <v>90</v>
      </c>
      <c r="FZ24">
        <v>2</v>
      </c>
      <c r="GA24">
        <v>39</v>
      </c>
      <c r="GB24">
        <v>0</v>
      </c>
      <c r="GC24">
        <v>25</v>
      </c>
      <c r="GD24">
        <v>17</v>
      </c>
      <c r="GE24">
        <v>118</v>
      </c>
      <c r="GF24">
        <v>7</v>
      </c>
      <c r="GG24">
        <v>36</v>
      </c>
      <c r="GH24">
        <v>16</v>
      </c>
      <c r="GI24">
        <v>26</v>
      </c>
      <c r="GJ24">
        <v>29</v>
      </c>
      <c r="GK24">
        <v>33</v>
      </c>
      <c r="GL24">
        <v>50</v>
      </c>
    </row>
    <row r="25" spans="1:194" x14ac:dyDescent="0.2">
      <c r="A25" s="15" t="s">
        <v>13</v>
      </c>
      <c r="B25" s="22"/>
      <c r="C25" s="22"/>
      <c r="D25" s="22"/>
      <c r="E25" s="30">
        <f>SUM(H25:H28)</f>
        <v>0.38968235294117648</v>
      </c>
      <c r="F25" s="30">
        <f>SUM(I25:I28)</f>
        <v>0.12202356902356903</v>
      </c>
      <c r="G25" s="30">
        <f>SUM(J25:J28)</f>
        <v>0.2456702898550725</v>
      </c>
      <c r="H25" s="16">
        <f t="shared" si="0"/>
        <v>1.3568627450980392E-3</v>
      </c>
      <c r="I25" s="16">
        <f t="shared" si="1"/>
        <v>3.127946127946128E-3</v>
      </c>
      <c r="J25" s="16">
        <f t="shared" si="2"/>
        <v>2.3097826086956518E-3</v>
      </c>
      <c r="K25" s="15">
        <v>0</v>
      </c>
      <c r="L25" s="15">
        <v>0</v>
      </c>
      <c r="M25" s="15">
        <v>3</v>
      </c>
      <c r="N25" s="15">
        <v>1</v>
      </c>
      <c r="O25" s="15">
        <v>0</v>
      </c>
      <c r="P25" s="15">
        <v>5</v>
      </c>
      <c r="Q25" s="15">
        <v>1</v>
      </c>
      <c r="R25" s="15">
        <v>1</v>
      </c>
      <c r="S25" s="15">
        <v>28</v>
      </c>
      <c r="T25" s="15">
        <v>0</v>
      </c>
      <c r="U25" s="15">
        <v>3</v>
      </c>
      <c r="V25" s="15">
        <v>13</v>
      </c>
      <c r="W25" s="15">
        <v>7</v>
      </c>
      <c r="X25" s="15">
        <v>1</v>
      </c>
      <c r="Y25" s="15">
        <v>7</v>
      </c>
      <c r="Z25" s="15">
        <v>0</v>
      </c>
      <c r="AA25" s="15">
        <v>1</v>
      </c>
      <c r="AB25" s="15">
        <v>0</v>
      </c>
      <c r="AC25" s="15">
        <v>23</v>
      </c>
      <c r="AD25" s="15">
        <v>2</v>
      </c>
      <c r="AE25" s="15">
        <v>13</v>
      </c>
      <c r="AF25" s="15">
        <v>0</v>
      </c>
      <c r="AG25" s="15">
        <v>34</v>
      </c>
      <c r="AH25" s="15">
        <v>0</v>
      </c>
      <c r="AI25" s="15">
        <v>0</v>
      </c>
      <c r="AJ25" s="15">
        <v>0</v>
      </c>
      <c r="AK25" s="15">
        <v>0</v>
      </c>
      <c r="AL25" s="15">
        <v>7</v>
      </c>
      <c r="AM25" s="15">
        <v>0</v>
      </c>
      <c r="AN25" s="15">
        <v>0</v>
      </c>
      <c r="AO25" s="15">
        <v>6</v>
      </c>
      <c r="AP25" s="15">
        <v>18</v>
      </c>
      <c r="AQ25" s="15">
        <v>3</v>
      </c>
      <c r="AR25" s="15">
        <v>0</v>
      </c>
      <c r="AS25" s="15">
        <v>8</v>
      </c>
      <c r="AT25" s="15">
        <v>0</v>
      </c>
      <c r="AU25" s="15">
        <v>0</v>
      </c>
      <c r="AV25" s="15">
        <v>0</v>
      </c>
      <c r="AW25" s="15">
        <v>0</v>
      </c>
      <c r="AX25" s="15">
        <v>4</v>
      </c>
      <c r="AY25" s="15">
        <v>1</v>
      </c>
      <c r="AZ25" s="15">
        <v>0</v>
      </c>
      <c r="BA25" s="15">
        <v>0</v>
      </c>
      <c r="BB25" s="15">
        <v>41</v>
      </c>
      <c r="BC25" s="15">
        <v>0</v>
      </c>
      <c r="BD25" s="15">
        <v>7</v>
      </c>
      <c r="BE25" s="15">
        <v>2</v>
      </c>
      <c r="BF25" s="15">
        <v>2</v>
      </c>
      <c r="BG25" s="15">
        <v>0</v>
      </c>
      <c r="BH25" s="15">
        <v>0</v>
      </c>
      <c r="BI25" s="15">
        <v>2</v>
      </c>
      <c r="BJ25" s="15">
        <v>0</v>
      </c>
      <c r="BK25" s="15">
        <v>0</v>
      </c>
      <c r="BL25" s="15">
        <v>0</v>
      </c>
      <c r="BM25" s="15">
        <v>20</v>
      </c>
      <c r="BN25" s="15">
        <v>0</v>
      </c>
      <c r="BO25" s="15">
        <v>0</v>
      </c>
      <c r="BP25" s="15">
        <v>0</v>
      </c>
      <c r="BQ25" s="15">
        <v>6</v>
      </c>
      <c r="BR25" s="15">
        <v>0</v>
      </c>
      <c r="BS25" s="15">
        <v>1</v>
      </c>
      <c r="BT25" s="15">
        <v>0</v>
      </c>
      <c r="BU25" s="15">
        <v>0</v>
      </c>
      <c r="BV25" s="15">
        <v>16</v>
      </c>
      <c r="BW25" s="15">
        <v>0</v>
      </c>
      <c r="BX25" s="15">
        <v>0</v>
      </c>
      <c r="BY25" s="15">
        <v>1</v>
      </c>
      <c r="BZ25" s="15">
        <v>1</v>
      </c>
      <c r="CA25" s="15">
        <v>0</v>
      </c>
      <c r="CB25" s="15">
        <v>0</v>
      </c>
      <c r="CC25" s="15">
        <v>5</v>
      </c>
      <c r="CD25" s="15">
        <v>0</v>
      </c>
      <c r="CE25" s="15">
        <v>0</v>
      </c>
      <c r="CF25" s="15">
        <v>6</v>
      </c>
      <c r="CG25" s="15">
        <v>0</v>
      </c>
      <c r="CH25" s="15">
        <v>0</v>
      </c>
      <c r="CI25" s="15">
        <v>4</v>
      </c>
      <c r="CJ25" s="15">
        <v>23</v>
      </c>
      <c r="CK25" s="15">
        <v>4</v>
      </c>
      <c r="CL25" s="15">
        <v>1</v>
      </c>
      <c r="CM25" s="15">
        <v>3</v>
      </c>
      <c r="CN25" s="15">
        <v>2</v>
      </c>
      <c r="CO25" s="15">
        <v>6</v>
      </c>
      <c r="CP25" s="15">
        <v>0</v>
      </c>
      <c r="CQ25" s="15">
        <v>3</v>
      </c>
      <c r="CR25" s="15">
        <v>0</v>
      </c>
      <c r="CS25" s="15">
        <v>0</v>
      </c>
      <c r="CT25" s="15">
        <v>10</v>
      </c>
      <c r="CU25" s="15">
        <v>2</v>
      </c>
      <c r="CV25" s="15">
        <v>6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12</v>
      </c>
      <c r="DC25" s="15">
        <v>2</v>
      </c>
      <c r="DD25" s="15">
        <v>2</v>
      </c>
      <c r="DE25" s="15">
        <v>6</v>
      </c>
      <c r="DF25" s="15">
        <v>18</v>
      </c>
      <c r="DG25" s="15">
        <v>32</v>
      </c>
      <c r="DH25" s="15">
        <v>20</v>
      </c>
      <c r="DI25" s="15">
        <v>46</v>
      </c>
      <c r="DJ25" s="15">
        <v>0</v>
      </c>
      <c r="DK25" s="15">
        <v>4</v>
      </c>
      <c r="DL25" s="15">
        <v>36</v>
      </c>
      <c r="DM25" s="15">
        <v>8</v>
      </c>
      <c r="DN25" s="15">
        <v>1</v>
      </c>
      <c r="DO25" s="15">
        <v>0</v>
      </c>
      <c r="DP25" s="15">
        <v>0</v>
      </c>
      <c r="DQ25" s="15">
        <v>2</v>
      </c>
      <c r="DR25" s="15">
        <v>0</v>
      </c>
      <c r="DS25" s="15">
        <v>0</v>
      </c>
      <c r="DT25" s="15">
        <v>0</v>
      </c>
      <c r="DU25" s="15">
        <v>0</v>
      </c>
      <c r="DV25" s="15">
        <v>2</v>
      </c>
      <c r="DW25" s="15">
        <v>0</v>
      </c>
      <c r="DX25" s="15">
        <v>1</v>
      </c>
      <c r="DY25" s="15">
        <v>0</v>
      </c>
      <c r="DZ25" s="15">
        <v>1</v>
      </c>
      <c r="EA25" s="15">
        <v>0</v>
      </c>
      <c r="EB25" s="15">
        <v>1</v>
      </c>
      <c r="EC25" s="15">
        <v>0</v>
      </c>
      <c r="ED25" s="15">
        <v>17</v>
      </c>
      <c r="EE25" s="15">
        <v>3</v>
      </c>
      <c r="EF25" s="15">
        <v>10</v>
      </c>
      <c r="EG25" s="15">
        <v>13</v>
      </c>
      <c r="EH25" s="15">
        <v>0</v>
      </c>
      <c r="EI25" s="15">
        <v>1</v>
      </c>
      <c r="EJ25" s="15">
        <v>7</v>
      </c>
      <c r="EK25" s="15">
        <v>5</v>
      </c>
      <c r="EL25" s="15">
        <v>30</v>
      </c>
      <c r="EM25" s="15">
        <v>23</v>
      </c>
      <c r="EN25" s="15">
        <v>17</v>
      </c>
      <c r="EO25" s="15">
        <v>53</v>
      </c>
      <c r="EP25" s="15">
        <v>0</v>
      </c>
      <c r="EQ25" s="15">
        <v>8</v>
      </c>
      <c r="ER25" s="15">
        <v>2</v>
      </c>
      <c r="ES25" s="15">
        <v>1</v>
      </c>
      <c r="ET25" s="15">
        <v>6</v>
      </c>
      <c r="EU25" s="15">
        <v>6</v>
      </c>
      <c r="EV25" s="15">
        <v>2</v>
      </c>
      <c r="EW25" s="15">
        <v>8</v>
      </c>
      <c r="EX25" s="15">
        <v>0</v>
      </c>
      <c r="EY25" s="15">
        <v>0</v>
      </c>
      <c r="EZ25" s="15">
        <v>10</v>
      </c>
      <c r="FA25" s="15">
        <v>0</v>
      </c>
      <c r="FB25" s="15">
        <v>23</v>
      </c>
      <c r="FC25" s="15">
        <v>15</v>
      </c>
      <c r="FD25" s="15">
        <v>24</v>
      </c>
      <c r="FE25" s="15">
        <v>19</v>
      </c>
      <c r="FF25" s="15">
        <v>10</v>
      </c>
      <c r="FG25" s="15">
        <v>1</v>
      </c>
      <c r="FH25" s="15">
        <v>2</v>
      </c>
      <c r="FI25" s="15">
        <v>0</v>
      </c>
      <c r="FJ25" s="15">
        <v>14</v>
      </c>
      <c r="FK25" s="15">
        <v>26</v>
      </c>
      <c r="FL25" s="15">
        <v>45</v>
      </c>
      <c r="FM25" s="15">
        <v>33</v>
      </c>
      <c r="FN25" s="15">
        <v>3</v>
      </c>
      <c r="FO25" s="15">
        <v>2</v>
      </c>
      <c r="FP25" s="15">
        <v>7</v>
      </c>
      <c r="FQ25" s="15">
        <v>62</v>
      </c>
      <c r="FR25" s="15">
        <v>20</v>
      </c>
      <c r="FS25" s="15">
        <v>17</v>
      </c>
      <c r="FT25" s="15">
        <v>16</v>
      </c>
      <c r="FU25" s="15">
        <v>3</v>
      </c>
      <c r="FV25" s="15">
        <v>22</v>
      </c>
      <c r="FW25" s="15">
        <v>9</v>
      </c>
      <c r="FX25" s="15">
        <v>21</v>
      </c>
      <c r="FY25" s="15">
        <v>0</v>
      </c>
      <c r="FZ25" s="15">
        <v>6</v>
      </c>
      <c r="GA25" s="15">
        <v>6</v>
      </c>
      <c r="GB25" s="15">
        <v>0</v>
      </c>
      <c r="GC25" s="15">
        <v>3</v>
      </c>
      <c r="GD25" s="15">
        <v>3</v>
      </c>
      <c r="GE25" s="15">
        <v>1</v>
      </c>
      <c r="GF25" s="15">
        <v>0</v>
      </c>
      <c r="GG25" s="15">
        <v>0</v>
      </c>
      <c r="GH25" s="15">
        <v>0</v>
      </c>
      <c r="GI25" s="15">
        <v>10</v>
      </c>
      <c r="GJ25" s="15">
        <v>32</v>
      </c>
      <c r="GK25" s="15">
        <v>8</v>
      </c>
      <c r="GL25" s="15">
        <v>32</v>
      </c>
    </row>
    <row r="26" spans="1:194" x14ac:dyDescent="0.2">
      <c r="A26" s="10" t="s">
        <v>1</v>
      </c>
      <c r="B26" s="22"/>
      <c r="C26" s="22"/>
      <c r="D26" s="22"/>
      <c r="E26" s="30"/>
      <c r="F26" s="30"/>
      <c r="G26" s="30"/>
      <c r="H26" s="11">
        <f t="shared" si="0"/>
        <v>0.37710588235294118</v>
      </c>
      <c r="I26" s="11">
        <f t="shared" si="1"/>
        <v>0.11090235690235691</v>
      </c>
      <c r="J26" s="11">
        <f t="shared" si="2"/>
        <v>0.23387681159420293</v>
      </c>
      <c r="K26" s="10">
        <v>517</v>
      </c>
      <c r="L26" s="10">
        <v>622</v>
      </c>
      <c r="M26" s="10">
        <v>1026</v>
      </c>
      <c r="N26" s="10">
        <v>1207</v>
      </c>
      <c r="O26" s="10">
        <v>791</v>
      </c>
      <c r="P26" s="10">
        <v>822</v>
      </c>
      <c r="Q26" s="10">
        <v>1010</v>
      </c>
      <c r="R26" s="10">
        <v>1148</v>
      </c>
      <c r="S26" s="10">
        <v>880</v>
      </c>
      <c r="T26" s="10">
        <v>1021</v>
      </c>
      <c r="U26" s="10">
        <v>1289</v>
      </c>
      <c r="V26" s="10">
        <v>882</v>
      </c>
      <c r="W26" s="10">
        <v>1044</v>
      </c>
      <c r="X26" s="10">
        <v>1539</v>
      </c>
      <c r="Y26" s="10">
        <v>1052</v>
      </c>
      <c r="Z26" s="10">
        <v>946</v>
      </c>
      <c r="AA26" s="10">
        <v>1159</v>
      </c>
      <c r="AB26" s="10">
        <v>1423</v>
      </c>
      <c r="AC26" s="10">
        <v>931</v>
      </c>
      <c r="AD26" s="10">
        <v>1205</v>
      </c>
      <c r="AE26" s="10">
        <v>1332</v>
      </c>
      <c r="AF26" s="10">
        <v>1611</v>
      </c>
      <c r="AG26" s="10">
        <v>625</v>
      </c>
      <c r="AH26" s="10">
        <v>1435</v>
      </c>
      <c r="AI26" s="10">
        <v>1142</v>
      </c>
      <c r="AJ26" s="10">
        <v>1742</v>
      </c>
      <c r="AK26" s="10">
        <v>880</v>
      </c>
      <c r="AL26" s="10">
        <v>1248</v>
      </c>
      <c r="AM26" s="10">
        <v>1378</v>
      </c>
      <c r="AN26" s="10">
        <v>1161</v>
      </c>
      <c r="AO26" s="10">
        <v>849</v>
      </c>
      <c r="AP26" s="10">
        <v>804</v>
      </c>
      <c r="AQ26" s="10">
        <v>1142</v>
      </c>
      <c r="AR26" s="10">
        <v>876</v>
      </c>
      <c r="AS26" s="10">
        <v>1095</v>
      </c>
      <c r="AT26" s="10">
        <v>1117</v>
      </c>
      <c r="AU26" s="10">
        <v>1233</v>
      </c>
      <c r="AV26" s="10">
        <v>934</v>
      </c>
      <c r="AW26" s="10">
        <v>1862</v>
      </c>
      <c r="AX26" s="10">
        <v>1567</v>
      </c>
      <c r="AY26" s="10">
        <v>1704</v>
      </c>
      <c r="AZ26" s="10">
        <v>399</v>
      </c>
      <c r="BA26" s="10">
        <v>710</v>
      </c>
      <c r="BB26" s="10">
        <v>1179</v>
      </c>
      <c r="BC26" s="10">
        <v>1302</v>
      </c>
      <c r="BD26" s="10">
        <v>1051</v>
      </c>
      <c r="BE26" s="10">
        <v>1112</v>
      </c>
      <c r="BF26" s="10">
        <v>1554</v>
      </c>
      <c r="BG26" s="10">
        <v>1242</v>
      </c>
      <c r="BH26" s="10">
        <v>1431</v>
      </c>
      <c r="BI26" s="10">
        <v>1137</v>
      </c>
      <c r="BJ26" s="10">
        <v>1894</v>
      </c>
      <c r="BK26" s="10">
        <v>968</v>
      </c>
      <c r="BL26" s="10">
        <v>268</v>
      </c>
      <c r="BM26" s="10">
        <v>815</v>
      </c>
      <c r="BN26" s="10">
        <v>1099</v>
      </c>
      <c r="BO26" s="10">
        <v>580</v>
      </c>
      <c r="BP26" s="10">
        <v>1287</v>
      </c>
      <c r="BQ26" s="10">
        <v>1180</v>
      </c>
      <c r="BR26" s="10">
        <v>1777</v>
      </c>
      <c r="BS26" s="10">
        <v>650</v>
      </c>
      <c r="BT26" s="10">
        <v>1298</v>
      </c>
      <c r="BU26" s="10">
        <v>1339</v>
      </c>
      <c r="BV26" s="10">
        <v>1012</v>
      </c>
      <c r="BW26" s="10">
        <v>1511</v>
      </c>
      <c r="BX26" s="10">
        <v>982</v>
      </c>
      <c r="BY26" s="10">
        <v>1453</v>
      </c>
      <c r="BZ26" s="10">
        <v>1490</v>
      </c>
      <c r="CA26" s="10">
        <v>498</v>
      </c>
      <c r="CB26" s="10">
        <v>1380</v>
      </c>
      <c r="CC26" s="10">
        <v>1513</v>
      </c>
      <c r="CD26" s="10">
        <v>920</v>
      </c>
      <c r="CE26" s="10">
        <v>1109</v>
      </c>
      <c r="CF26" s="10">
        <v>989</v>
      </c>
      <c r="CG26" s="10">
        <v>1594</v>
      </c>
      <c r="CH26" s="10">
        <v>1291</v>
      </c>
      <c r="CI26" s="10">
        <v>1471</v>
      </c>
      <c r="CJ26" s="10">
        <v>732</v>
      </c>
      <c r="CK26" s="10">
        <v>1085</v>
      </c>
      <c r="CL26" s="10">
        <v>945</v>
      </c>
      <c r="CM26" s="10">
        <v>1045</v>
      </c>
      <c r="CN26" s="10">
        <v>982</v>
      </c>
      <c r="CO26" s="10">
        <v>1150</v>
      </c>
      <c r="CP26" s="10">
        <v>1406</v>
      </c>
      <c r="CQ26" s="10">
        <v>1081</v>
      </c>
      <c r="CR26" s="10">
        <v>255</v>
      </c>
      <c r="CS26" s="10">
        <v>197</v>
      </c>
      <c r="CT26" s="10">
        <v>441</v>
      </c>
      <c r="CU26" s="10">
        <v>192</v>
      </c>
      <c r="CV26" s="10">
        <v>272</v>
      </c>
      <c r="CW26" s="10">
        <v>225</v>
      </c>
      <c r="CX26" s="10">
        <v>113</v>
      </c>
      <c r="CY26" s="10">
        <v>235</v>
      </c>
      <c r="CZ26" s="10">
        <v>287</v>
      </c>
      <c r="DA26" s="10">
        <v>512</v>
      </c>
      <c r="DB26" s="10">
        <v>159</v>
      </c>
      <c r="DC26" s="10">
        <v>310</v>
      </c>
      <c r="DD26" s="10">
        <v>217</v>
      </c>
      <c r="DE26" s="10">
        <v>227</v>
      </c>
      <c r="DF26" s="10">
        <v>163</v>
      </c>
      <c r="DG26" s="10">
        <v>223</v>
      </c>
      <c r="DH26" s="10">
        <v>356</v>
      </c>
      <c r="DI26" s="10">
        <v>129</v>
      </c>
      <c r="DJ26" s="10">
        <v>251</v>
      </c>
      <c r="DK26" s="10">
        <v>449</v>
      </c>
      <c r="DL26" s="10">
        <v>80</v>
      </c>
      <c r="DM26" s="10">
        <v>394</v>
      </c>
      <c r="DN26" s="10">
        <v>347</v>
      </c>
      <c r="DO26" s="10">
        <v>456</v>
      </c>
      <c r="DP26" s="10">
        <v>127</v>
      </c>
      <c r="DQ26" s="10">
        <v>222</v>
      </c>
      <c r="DR26" s="10">
        <v>321</v>
      </c>
      <c r="DS26" s="10">
        <v>54</v>
      </c>
      <c r="DT26" s="10">
        <v>138</v>
      </c>
      <c r="DU26" s="10">
        <v>181</v>
      </c>
      <c r="DV26" s="10">
        <v>98</v>
      </c>
      <c r="DW26" s="10">
        <v>298</v>
      </c>
      <c r="DX26" s="10">
        <v>374</v>
      </c>
      <c r="DY26" s="10">
        <v>163</v>
      </c>
      <c r="DZ26" s="10">
        <v>338</v>
      </c>
      <c r="EA26" s="10">
        <v>318</v>
      </c>
      <c r="EB26" s="10">
        <v>113</v>
      </c>
      <c r="EC26" s="10">
        <v>395</v>
      </c>
      <c r="ED26" s="10">
        <v>391</v>
      </c>
      <c r="EE26" s="10">
        <v>1076</v>
      </c>
      <c r="EF26" s="10">
        <v>732</v>
      </c>
      <c r="EG26" s="10">
        <v>663</v>
      </c>
      <c r="EH26" s="10">
        <v>180</v>
      </c>
      <c r="EI26" s="10">
        <v>358</v>
      </c>
      <c r="EJ26" s="10">
        <v>478</v>
      </c>
      <c r="EK26" s="10">
        <v>316</v>
      </c>
      <c r="EL26" s="10">
        <v>681</v>
      </c>
      <c r="EM26" s="10">
        <v>354</v>
      </c>
      <c r="EN26" s="10">
        <v>311</v>
      </c>
      <c r="EO26" s="10">
        <v>250</v>
      </c>
      <c r="EP26" s="10">
        <v>280</v>
      </c>
      <c r="EQ26" s="10">
        <v>415</v>
      </c>
      <c r="ER26" s="10">
        <v>574</v>
      </c>
      <c r="ES26" s="10">
        <v>875</v>
      </c>
      <c r="ET26" s="10">
        <v>216</v>
      </c>
      <c r="EU26" s="10">
        <v>181</v>
      </c>
      <c r="EV26" s="10">
        <v>238</v>
      </c>
      <c r="EW26" s="10">
        <v>445</v>
      </c>
      <c r="EX26" s="10">
        <v>243</v>
      </c>
      <c r="EY26" s="10">
        <v>173</v>
      </c>
      <c r="EZ26" s="10">
        <v>177</v>
      </c>
      <c r="FA26" s="10">
        <v>171</v>
      </c>
      <c r="FB26" s="10">
        <v>325</v>
      </c>
      <c r="FC26" s="10">
        <v>75</v>
      </c>
      <c r="FD26" s="10">
        <v>306</v>
      </c>
      <c r="FE26" s="10">
        <v>218</v>
      </c>
      <c r="FF26" s="10">
        <v>402</v>
      </c>
      <c r="FG26" s="10">
        <v>217</v>
      </c>
      <c r="FH26" s="10">
        <v>326</v>
      </c>
      <c r="FI26" s="10">
        <v>277</v>
      </c>
      <c r="FJ26" s="10">
        <v>532</v>
      </c>
      <c r="FK26" s="10">
        <v>614</v>
      </c>
      <c r="FL26" s="10">
        <v>461</v>
      </c>
      <c r="FM26" s="10">
        <v>689</v>
      </c>
      <c r="FN26" s="10">
        <v>190</v>
      </c>
      <c r="FO26" s="10">
        <v>214</v>
      </c>
      <c r="FP26" s="10">
        <v>366</v>
      </c>
      <c r="FQ26" s="10">
        <v>58</v>
      </c>
      <c r="FR26" s="10">
        <v>117</v>
      </c>
      <c r="FS26" s="10">
        <v>174</v>
      </c>
      <c r="FT26" s="10">
        <v>90</v>
      </c>
      <c r="FU26" s="10">
        <v>235</v>
      </c>
      <c r="FV26" s="10">
        <v>221</v>
      </c>
      <c r="FW26" s="10">
        <v>344</v>
      </c>
      <c r="FX26" s="10">
        <v>340</v>
      </c>
      <c r="FY26" s="10">
        <v>160</v>
      </c>
      <c r="FZ26" s="10">
        <v>143</v>
      </c>
      <c r="GA26" s="10">
        <v>235</v>
      </c>
      <c r="GB26" s="10">
        <v>235</v>
      </c>
      <c r="GC26" s="10">
        <v>303</v>
      </c>
      <c r="GD26" s="10">
        <v>658</v>
      </c>
      <c r="GE26" s="10">
        <v>444</v>
      </c>
      <c r="GF26" s="10">
        <v>127</v>
      </c>
      <c r="GG26" s="10">
        <v>584</v>
      </c>
      <c r="GH26" s="10">
        <v>1414</v>
      </c>
      <c r="GI26" s="10">
        <v>511</v>
      </c>
      <c r="GJ26" s="10">
        <v>407</v>
      </c>
      <c r="GK26" s="10">
        <v>841</v>
      </c>
      <c r="GL26" s="10">
        <v>677</v>
      </c>
    </row>
    <row r="27" spans="1:194" x14ac:dyDescent="0.2">
      <c r="A27" t="s">
        <v>32</v>
      </c>
      <c r="B27" s="22"/>
      <c r="C27" s="22"/>
      <c r="D27" s="22"/>
      <c r="E27" s="30"/>
      <c r="F27" s="30"/>
      <c r="G27" s="30"/>
      <c r="H27" s="5">
        <f t="shared" si="0"/>
        <v>2.6274509803921568E-4</v>
      </c>
      <c r="I27" s="5">
        <f t="shared" si="1"/>
        <v>0</v>
      </c>
      <c r="J27" s="5">
        <f t="shared" si="2"/>
        <v>1.2137681159420291E-4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</row>
    <row r="28" spans="1:194" x14ac:dyDescent="0.2">
      <c r="A28" t="s">
        <v>9</v>
      </c>
      <c r="B28" s="22"/>
      <c r="C28" s="22"/>
      <c r="D28" s="22"/>
      <c r="E28" s="30"/>
      <c r="F28" s="30"/>
      <c r="G28" s="30"/>
      <c r="H28" s="5">
        <f t="shared" si="0"/>
        <v>1.0956862745098038E-2</v>
      </c>
      <c r="I28" s="5">
        <f t="shared" si="1"/>
        <v>7.9932659932659932E-3</v>
      </c>
      <c r="J28" s="5">
        <f t="shared" si="2"/>
        <v>9.3623188405797097E-3</v>
      </c>
      <c r="K28">
        <v>4</v>
      </c>
      <c r="L28">
        <v>4</v>
      </c>
      <c r="M28">
        <v>14</v>
      </c>
      <c r="N28">
        <v>18</v>
      </c>
      <c r="O28">
        <v>19</v>
      </c>
      <c r="P28">
        <v>20</v>
      </c>
      <c r="Q28">
        <v>5</v>
      </c>
      <c r="R28">
        <v>2</v>
      </c>
      <c r="S28">
        <v>38</v>
      </c>
      <c r="T28">
        <v>65</v>
      </c>
      <c r="U28">
        <v>23</v>
      </c>
      <c r="V28">
        <v>38</v>
      </c>
      <c r="W28">
        <v>79</v>
      </c>
      <c r="X28">
        <v>16</v>
      </c>
      <c r="Y28">
        <v>46</v>
      </c>
      <c r="Z28">
        <v>87</v>
      </c>
      <c r="AA28">
        <v>5</v>
      </c>
      <c r="AB28">
        <v>5</v>
      </c>
      <c r="AC28">
        <v>145</v>
      </c>
      <c r="AD28">
        <v>169</v>
      </c>
      <c r="AE28">
        <v>69</v>
      </c>
      <c r="AF28">
        <v>11</v>
      </c>
      <c r="AG28">
        <v>0</v>
      </c>
      <c r="AH28">
        <v>31</v>
      </c>
      <c r="AI28">
        <v>0</v>
      </c>
      <c r="AJ28">
        <v>13</v>
      </c>
      <c r="AK28">
        <v>128</v>
      </c>
      <c r="AL28">
        <v>188</v>
      </c>
      <c r="AM28">
        <v>33</v>
      </c>
      <c r="AN28">
        <v>80</v>
      </c>
      <c r="AO28">
        <v>72</v>
      </c>
      <c r="AP28">
        <v>106</v>
      </c>
      <c r="AQ28">
        <v>21</v>
      </c>
      <c r="AR28">
        <v>25</v>
      </c>
      <c r="AS28">
        <v>17</v>
      </c>
      <c r="AT28">
        <v>52</v>
      </c>
      <c r="AU28">
        <v>12</v>
      </c>
      <c r="AV28">
        <v>64</v>
      </c>
      <c r="AW28">
        <v>13</v>
      </c>
      <c r="AX28">
        <v>49</v>
      </c>
      <c r="AY28">
        <v>17</v>
      </c>
      <c r="AZ28">
        <v>121</v>
      </c>
      <c r="BA28">
        <v>68</v>
      </c>
      <c r="BB28">
        <v>6</v>
      </c>
      <c r="BC28">
        <v>0</v>
      </c>
      <c r="BD28">
        <v>2</v>
      </c>
      <c r="BE28">
        <v>7</v>
      </c>
      <c r="BF28">
        <v>5</v>
      </c>
      <c r="BG28">
        <v>3</v>
      </c>
      <c r="BH28">
        <v>4</v>
      </c>
      <c r="BI28">
        <v>8</v>
      </c>
      <c r="BJ28">
        <v>11</v>
      </c>
      <c r="BK28">
        <v>6</v>
      </c>
      <c r="BL28">
        <v>8</v>
      </c>
      <c r="BM28">
        <v>27</v>
      </c>
      <c r="BN28">
        <v>4</v>
      </c>
      <c r="BO28">
        <v>0</v>
      </c>
      <c r="BP28">
        <v>28</v>
      </c>
      <c r="BQ28">
        <v>12</v>
      </c>
      <c r="BR28">
        <v>13</v>
      </c>
      <c r="BS28">
        <v>96</v>
      </c>
      <c r="BT28">
        <v>5</v>
      </c>
      <c r="BU28">
        <v>175</v>
      </c>
      <c r="BV28">
        <v>16</v>
      </c>
      <c r="BW28">
        <v>5</v>
      </c>
      <c r="BX28">
        <v>0</v>
      </c>
      <c r="BY28">
        <v>17</v>
      </c>
      <c r="BZ28">
        <v>10</v>
      </c>
      <c r="CA28">
        <v>10</v>
      </c>
      <c r="CB28">
        <v>4</v>
      </c>
      <c r="CC28">
        <v>20</v>
      </c>
      <c r="CD28">
        <v>11</v>
      </c>
      <c r="CE28">
        <v>23</v>
      </c>
      <c r="CF28">
        <v>17</v>
      </c>
      <c r="CG28">
        <v>27</v>
      </c>
      <c r="CH28">
        <v>15</v>
      </c>
      <c r="CI28">
        <v>14</v>
      </c>
      <c r="CJ28">
        <v>51</v>
      </c>
      <c r="CK28">
        <v>14</v>
      </c>
      <c r="CL28">
        <v>2</v>
      </c>
      <c r="CM28">
        <v>48</v>
      </c>
      <c r="CN28">
        <v>31</v>
      </c>
      <c r="CO28">
        <v>4</v>
      </c>
      <c r="CP28">
        <v>37</v>
      </c>
      <c r="CQ28">
        <v>6</v>
      </c>
      <c r="CR28">
        <v>0</v>
      </c>
      <c r="CS28">
        <v>0</v>
      </c>
      <c r="CT28">
        <v>7</v>
      </c>
      <c r="CU28">
        <v>10</v>
      </c>
      <c r="CV28">
        <v>8</v>
      </c>
      <c r="CW28">
        <v>13</v>
      </c>
      <c r="CX28">
        <v>42</v>
      </c>
      <c r="CY28">
        <v>11</v>
      </c>
      <c r="CZ28">
        <v>27</v>
      </c>
      <c r="DA28">
        <v>12</v>
      </c>
      <c r="DB28">
        <v>2</v>
      </c>
      <c r="DC28">
        <v>49</v>
      </c>
      <c r="DD28">
        <v>6</v>
      </c>
      <c r="DE28">
        <v>12</v>
      </c>
      <c r="DF28">
        <v>58</v>
      </c>
      <c r="DG28">
        <v>157</v>
      </c>
      <c r="DH28">
        <v>36</v>
      </c>
      <c r="DI28">
        <v>54</v>
      </c>
      <c r="DJ28">
        <v>0</v>
      </c>
      <c r="DK28">
        <v>8</v>
      </c>
      <c r="DL28">
        <v>27</v>
      </c>
      <c r="DM28">
        <v>7</v>
      </c>
      <c r="DN28">
        <v>10</v>
      </c>
      <c r="DO28">
        <v>31</v>
      </c>
      <c r="DP28">
        <v>2</v>
      </c>
      <c r="DQ28">
        <v>19</v>
      </c>
      <c r="DR28">
        <v>8</v>
      </c>
      <c r="DS28">
        <v>0</v>
      </c>
      <c r="DT28">
        <v>0</v>
      </c>
      <c r="DU28">
        <v>0</v>
      </c>
      <c r="DV28">
        <v>12</v>
      </c>
      <c r="DW28">
        <v>0</v>
      </c>
      <c r="DX28">
        <v>8</v>
      </c>
      <c r="DY28">
        <v>4</v>
      </c>
      <c r="DZ28">
        <v>4</v>
      </c>
      <c r="EA28">
        <v>2</v>
      </c>
      <c r="EB28">
        <v>9</v>
      </c>
      <c r="EC28">
        <v>19</v>
      </c>
      <c r="ED28">
        <v>28</v>
      </c>
      <c r="EE28">
        <v>21</v>
      </c>
      <c r="EF28">
        <v>28</v>
      </c>
      <c r="EG28">
        <v>49</v>
      </c>
      <c r="EH28">
        <v>25</v>
      </c>
      <c r="EI28">
        <v>37</v>
      </c>
      <c r="EJ28">
        <v>28</v>
      </c>
      <c r="EK28">
        <v>18</v>
      </c>
      <c r="EL28">
        <v>65</v>
      </c>
      <c r="EM28">
        <v>38</v>
      </c>
      <c r="EN28">
        <v>44</v>
      </c>
      <c r="EO28">
        <v>42</v>
      </c>
      <c r="EP28">
        <v>35</v>
      </c>
      <c r="EQ28">
        <v>40</v>
      </c>
      <c r="ER28">
        <v>31</v>
      </c>
      <c r="ES28">
        <v>30</v>
      </c>
      <c r="ET28">
        <v>15</v>
      </c>
      <c r="EU28">
        <v>6</v>
      </c>
      <c r="EV28">
        <v>20</v>
      </c>
      <c r="EW28">
        <v>11</v>
      </c>
      <c r="EX28">
        <v>2</v>
      </c>
      <c r="EY28">
        <v>0</v>
      </c>
      <c r="EZ28">
        <v>15</v>
      </c>
      <c r="FA28">
        <v>8</v>
      </c>
      <c r="FB28">
        <v>65</v>
      </c>
      <c r="FC28">
        <v>52</v>
      </c>
      <c r="FD28">
        <v>49</v>
      </c>
      <c r="FE28">
        <v>71</v>
      </c>
      <c r="FF28">
        <v>8</v>
      </c>
      <c r="FG28">
        <v>4</v>
      </c>
      <c r="FH28">
        <v>6</v>
      </c>
      <c r="FI28">
        <v>19</v>
      </c>
      <c r="FJ28">
        <v>91</v>
      </c>
      <c r="FK28">
        <v>40</v>
      </c>
      <c r="FL28">
        <v>26</v>
      </c>
      <c r="FM28">
        <v>69</v>
      </c>
      <c r="FN28">
        <v>18</v>
      </c>
      <c r="FO28">
        <v>1</v>
      </c>
      <c r="FP28">
        <v>3</v>
      </c>
      <c r="FQ28">
        <v>24</v>
      </c>
      <c r="FR28">
        <v>34</v>
      </c>
      <c r="FS28">
        <v>33</v>
      </c>
      <c r="FT28">
        <v>33</v>
      </c>
      <c r="FU28">
        <v>21</v>
      </c>
      <c r="FV28">
        <v>56</v>
      </c>
      <c r="FW28">
        <v>25</v>
      </c>
      <c r="FX28">
        <v>38</v>
      </c>
      <c r="FY28">
        <v>0</v>
      </c>
      <c r="FZ28">
        <v>11</v>
      </c>
      <c r="GA28">
        <v>11</v>
      </c>
      <c r="GB28">
        <v>0</v>
      </c>
      <c r="GC28">
        <v>70</v>
      </c>
      <c r="GD28">
        <v>0</v>
      </c>
      <c r="GE28">
        <v>33</v>
      </c>
      <c r="GF28">
        <v>2</v>
      </c>
      <c r="GG28">
        <v>3</v>
      </c>
      <c r="GH28">
        <v>0</v>
      </c>
      <c r="GI28">
        <v>18</v>
      </c>
      <c r="GJ28">
        <v>76</v>
      </c>
      <c r="GK28">
        <v>3</v>
      </c>
      <c r="GL28">
        <v>51</v>
      </c>
    </row>
    <row r="29" spans="1:194" x14ac:dyDescent="0.2">
      <c r="A29" t="s">
        <v>30</v>
      </c>
      <c r="B29" s="22"/>
      <c r="C29" s="22"/>
      <c r="D29" s="22"/>
      <c r="E29" s="26">
        <f>SUM(H29:H30)</f>
        <v>7.3333333333333334E-4</v>
      </c>
      <c r="F29" s="26">
        <f>SUM(I29:I30)</f>
        <v>4.1414141414141412E-4</v>
      </c>
      <c r="G29" s="26">
        <f>SUM(J29:J30)</f>
        <v>5.6159420289855072E-4</v>
      </c>
      <c r="H29" s="5">
        <f t="shared" si="0"/>
        <v>1.9607843137254903E-5</v>
      </c>
      <c r="I29" s="5">
        <f t="shared" si="1"/>
        <v>2.5252525252525253E-4</v>
      </c>
      <c r="J29" s="5">
        <f t="shared" si="2"/>
        <v>1.4492753623188405E-4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3</v>
      </c>
      <c r="DK29">
        <v>0</v>
      </c>
      <c r="DL29">
        <v>30</v>
      </c>
      <c r="DM29">
        <v>1</v>
      </c>
      <c r="DN29">
        <v>0</v>
      </c>
      <c r="DO29">
        <v>0</v>
      </c>
      <c r="DP29">
        <v>0</v>
      </c>
      <c r="DQ29">
        <v>5</v>
      </c>
      <c r="DR29">
        <v>3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5</v>
      </c>
      <c r="EQ29">
        <v>0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6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1</v>
      </c>
      <c r="FS29">
        <v>0</v>
      </c>
      <c r="FT29">
        <v>2</v>
      </c>
      <c r="FU29">
        <v>0</v>
      </c>
      <c r="FV29">
        <v>1</v>
      </c>
      <c r="FW29">
        <v>0</v>
      </c>
      <c r="FX29">
        <v>1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</row>
    <row r="30" spans="1:194" x14ac:dyDescent="0.2">
      <c r="A30" t="s">
        <v>22</v>
      </c>
      <c r="B30" s="22"/>
      <c r="C30" s="22"/>
      <c r="D30" s="22"/>
      <c r="E30" s="26"/>
      <c r="F30" s="26"/>
      <c r="G30" s="26"/>
      <c r="H30" s="5">
        <f t="shared" si="0"/>
        <v>7.137254901960784E-4</v>
      </c>
      <c r="I30" s="5">
        <f t="shared" si="1"/>
        <v>1.6161616161616162E-4</v>
      </c>
      <c r="J30" s="5">
        <f t="shared" si="2"/>
        <v>4.1666666666666669E-4</v>
      </c>
      <c r="K30">
        <v>0</v>
      </c>
      <c r="L30">
        <v>0</v>
      </c>
      <c r="M30">
        <v>0</v>
      </c>
      <c r="N30">
        <v>0</v>
      </c>
      <c r="O30">
        <v>14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8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</v>
      </c>
      <c r="BC30">
        <v>17</v>
      </c>
      <c r="BD30">
        <v>0</v>
      </c>
      <c r="BE30">
        <v>2</v>
      </c>
      <c r="BF30">
        <v>0</v>
      </c>
      <c r="BG30">
        <v>1</v>
      </c>
      <c r="BH30">
        <v>0</v>
      </c>
      <c r="BI30">
        <v>0</v>
      </c>
      <c r="BJ30">
        <v>2</v>
      </c>
      <c r="BK30">
        <v>45</v>
      </c>
      <c r="BL30">
        <v>21</v>
      </c>
      <c r="BM30">
        <v>12</v>
      </c>
      <c r="BN30">
        <v>3</v>
      </c>
      <c r="BO30">
        <v>0</v>
      </c>
      <c r="BP30">
        <v>4</v>
      </c>
      <c r="BQ30">
        <v>9</v>
      </c>
      <c r="BR30">
        <v>6</v>
      </c>
      <c r="BS30">
        <v>0</v>
      </c>
      <c r="BT30">
        <v>2</v>
      </c>
      <c r="BU30">
        <v>0</v>
      </c>
      <c r="BV30">
        <v>0</v>
      </c>
      <c r="BW30">
        <v>9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6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33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8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</row>
    <row r="31" spans="1:194" x14ac:dyDescent="0.2">
      <c r="A31" t="s">
        <v>4</v>
      </c>
      <c r="B31" s="22"/>
      <c r="C31" s="22"/>
      <c r="D31" s="22"/>
      <c r="E31" s="27">
        <f>H31</f>
        <v>0.1243686274509804</v>
      </c>
      <c r="F31" s="27">
        <f>I31</f>
        <v>0.12718181818181817</v>
      </c>
      <c r="G31" s="27">
        <f>J31</f>
        <v>0.12588224637681161</v>
      </c>
      <c r="H31" s="5">
        <f t="shared" si="0"/>
        <v>0.1243686274509804</v>
      </c>
      <c r="I31" s="5">
        <f t="shared" si="1"/>
        <v>0.12718181818181817</v>
      </c>
      <c r="J31" s="5">
        <f t="shared" si="2"/>
        <v>0.12588224637681161</v>
      </c>
      <c r="K31">
        <v>360</v>
      </c>
      <c r="L31">
        <v>420</v>
      </c>
      <c r="M31">
        <v>183</v>
      </c>
      <c r="N31">
        <v>172</v>
      </c>
      <c r="O31">
        <v>507</v>
      </c>
      <c r="P31">
        <v>220</v>
      </c>
      <c r="Q31">
        <v>125</v>
      </c>
      <c r="R31">
        <v>172</v>
      </c>
      <c r="S31">
        <v>540</v>
      </c>
      <c r="T31">
        <v>350</v>
      </c>
      <c r="U31">
        <v>219</v>
      </c>
      <c r="V31">
        <v>585</v>
      </c>
      <c r="W31">
        <v>160</v>
      </c>
      <c r="X31">
        <v>296</v>
      </c>
      <c r="Y31">
        <v>250</v>
      </c>
      <c r="Z31">
        <v>325</v>
      </c>
      <c r="AA31">
        <v>147</v>
      </c>
      <c r="AB31">
        <v>212</v>
      </c>
      <c r="AC31">
        <v>583</v>
      </c>
      <c r="AD31">
        <v>438</v>
      </c>
      <c r="AE31">
        <v>540</v>
      </c>
      <c r="AF31">
        <v>411</v>
      </c>
      <c r="AG31">
        <v>406</v>
      </c>
      <c r="AH31">
        <v>357</v>
      </c>
      <c r="AI31">
        <v>363</v>
      </c>
      <c r="AJ31">
        <v>262</v>
      </c>
      <c r="AK31">
        <v>473</v>
      </c>
      <c r="AL31">
        <v>367</v>
      </c>
      <c r="AM31">
        <v>267</v>
      </c>
      <c r="AN31">
        <v>445</v>
      </c>
      <c r="AO31">
        <v>418</v>
      </c>
      <c r="AP31">
        <v>466</v>
      </c>
      <c r="AQ31">
        <v>739</v>
      </c>
      <c r="AR31">
        <v>610</v>
      </c>
      <c r="AS31">
        <v>598</v>
      </c>
      <c r="AT31">
        <v>614</v>
      </c>
      <c r="AU31">
        <v>315</v>
      </c>
      <c r="AV31">
        <v>388</v>
      </c>
      <c r="AW31">
        <v>182</v>
      </c>
      <c r="AX31">
        <v>348</v>
      </c>
      <c r="AY31">
        <v>237</v>
      </c>
      <c r="AZ31">
        <v>812</v>
      </c>
      <c r="BA31">
        <v>731</v>
      </c>
      <c r="BB31">
        <v>440</v>
      </c>
      <c r="BC31">
        <v>482</v>
      </c>
      <c r="BD31">
        <v>541</v>
      </c>
      <c r="BE31">
        <v>519</v>
      </c>
      <c r="BF31">
        <v>355</v>
      </c>
      <c r="BG31">
        <v>177</v>
      </c>
      <c r="BH31">
        <v>275</v>
      </c>
      <c r="BI31">
        <v>431</v>
      </c>
      <c r="BJ31">
        <v>113</v>
      </c>
      <c r="BK31">
        <v>407</v>
      </c>
      <c r="BL31">
        <v>699</v>
      </c>
      <c r="BM31">
        <v>398</v>
      </c>
      <c r="BN31">
        <v>411</v>
      </c>
      <c r="BO31">
        <v>615</v>
      </c>
      <c r="BP31">
        <v>266</v>
      </c>
      <c r="BQ31">
        <v>187</v>
      </c>
      <c r="BR31">
        <v>271</v>
      </c>
      <c r="BS31">
        <v>732</v>
      </c>
      <c r="BT31">
        <v>284</v>
      </c>
      <c r="BU31">
        <v>494</v>
      </c>
      <c r="BV31">
        <v>520</v>
      </c>
      <c r="BW31">
        <v>362</v>
      </c>
      <c r="BX31">
        <v>484</v>
      </c>
      <c r="BY31">
        <v>412</v>
      </c>
      <c r="BZ31">
        <v>388</v>
      </c>
      <c r="CA31">
        <v>268</v>
      </c>
      <c r="CB31">
        <v>228</v>
      </c>
      <c r="CC31">
        <v>362</v>
      </c>
      <c r="CD31">
        <v>413</v>
      </c>
      <c r="CE31">
        <v>394</v>
      </c>
      <c r="CF31">
        <v>353</v>
      </c>
      <c r="CG31">
        <v>306</v>
      </c>
      <c r="CH31">
        <v>295</v>
      </c>
      <c r="CI31">
        <v>264</v>
      </c>
      <c r="CJ31">
        <v>531</v>
      </c>
      <c r="CK31">
        <v>197</v>
      </c>
      <c r="CL31">
        <v>144</v>
      </c>
      <c r="CM31">
        <v>319</v>
      </c>
      <c r="CN31">
        <v>166</v>
      </c>
      <c r="CO31">
        <v>153</v>
      </c>
      <c r="CP31">
        <v>283</v>
      </c>
      <c r="CQ31">
        <v>162</v>
      </c>
      <c r="CR31">
        <v>264</v>
      </c>
      <c r="CS31">
        <v>397</v>
      </c>
      <c r="CT31">
        <v>280</v>
      </c>
      <c r="CU31">
        <v>259</v>
      </c>
      <c r="CV31">
        <v>318</v>
      </c>
      <c r="CW31">
        <v>414</v>
      </c>
      <c r="CX31">
        <v>481</v>
      </c>
      <c r="CY31">
        <v>239</v>
      </c>
      <c r="CZ31">
        <v>374</v>
      </c>
      <c r="DA31">
        <v>208</v>
      </c>
      <c r="DB31">
        <v>213</v>
      </c>
      <c r="DC31">
        <v>310</v>
      </c>
      <c r="DD31">
        <v>338</v>
      </c>
      <c r="DE31">
        <v>342</v>
      </c>
      <c r="DF31">
        <v>579</v>
      </c>
      <c r="DG31">
        <v>487</v>
      </c>
      <c r="DH31">
        <v>661</v>
      </c>
      <c r="DI31">
        <v>453</v>
      </c>
      <c r="DJ31">
        <v>182</v>
      </c>
      <c r="DK31">
        <v>356</v>
      </c>
      <c r="DL31">
        <v>364</v>
      </c>
      <c r="DM31">
        <v>332</v>
      </c>
      <c r="DN31">
        <v>274</v>
      </c>
      <c r="DO31">
        <v>365</v>
      </c>
      <c r="DP31">
        <v>284</v>
      </c>
      <c r="DQ31">
        <v>313</v>
      </c>
      <c r="DR31">
        <v>293</v>
      </c>
      <c r="DS31">
        <v>386</v>
      </c>
      <c r="DT31">
        <v>304</v>
      </c>
      <c r="DU31">
        <v>265</v>
      </c>
      <c r="DV31">
        <v>183</v>
      </c>
      <c r="DW31">
        <v>767</v>
      </c>
      <c r="DX31">
        <v>639</v>
      </c>
      <c r="DY31">
        <v>262</v>
      </c>
      <c r="DZ31">
        <v>378</v>
      </c>
      <c r="EA31">
        <v>226</v>
      </c>
      <c r="EB31">
        <v>422</v>
      </c>
      <c r="EC31">
        <v>304</v>
      </c>
      <c r="ED31">
        <v>466</v>
      </c>
      <c r="EE31">
        <v>456</v>
      </c>
      <c r="EF31">
        <v>468</v>
      </c>
      <c r="EG31">
        <v>327</v>
      </c>
      <c r="EH31">
        <v>485</v>
      </c>
      <c r="EI31">
        <v>462</v>
      </c>
      <c r="EJ31">
        <v>481</v>
      </c>
      <c r="EK31">
        <v>268</v>
      </c>
      <c r="EL31">
        <v>567</v>
      </c>
      <c r="EM31">
        <v>375</v>
      </c>
      <c r="EN31">
        <v>405</v>
      </c>
      <c r="EO31">
        <v>487</v>
      </c>
      <c r="EP31">
        <v>278</v>
      </c>
      <c r="EQ31">
        <v>442</v>
      </c>
      <c r="ER31">
        <v>384</v>
      </c>
      <c r="ES31">
        <v>367</v>
      </c>
      <c r="ET31">
        <v>515</v>
      </c>
      <c r="EU31">
        <v>381</v>
      </c>
      <c r="EV31">
        <v>341</v>
      </c>
      <c r="EW31">
        <v>318</v>
      </c>
      <c r="EX31">
        <v>366</v>
      </c>
      <c r="EY31">
        <v>525</v>
      </c>
      <c r="EZ31">
        <v>241</v>
      </c>
      <c r="FA31">
        <v>368</v>
      </c>
      <c r="FB31">
        <v>470</v>
      </c>
      <c r="FC31">
        <v>364</v>
      </c>
      <c r="FD31">
        <v>439</v>
      </c>
      <c r="FE31">
        <v>484</v>
      </c>
      <c r="FF31">
        <v>237</v>
      </c>
      <c r="FG31">
        <v>253</v>
      </c>
      <c r="FH31">
        <v>301</v>
      </c>
      <c r="FI31">
        <v>334</v>
      </c>
      <c r="FJ31">
        <v>569</v>
      </c>
      <c r="FK31">
        <v>448</v>
      </c>
      <c r="FL31">
        <v>597</v>
      </c>
      <c r="FM31">
        <v>467</v>
      </c>
      <c r="FN31">
        <v>213</v>
      </c>
      <c r="FO31">
        <v>215</v>
      </c>
      <c r="FP31">
        <v>99</v>
      </c>
      <c r="FQ31">
        <v>378</v>
      </c>
      <c r="FR31">
        <v>441</v>
      </c>
      <c r="FS31">
        <v>428</v>
      </c>
      <c r="FT31">
        <v>789</v>
      </c>
      <c r="FU31">
        <v>204</v>
      </c>
      <c r="FV31">
        <v>573</v>
      </c>
      <c r="FW31">
        <v>415</v>
      </c>
      <c r="FX31">
        <v>505</v>
      </c>
      <c r="FY31">
        <v>557</v>
      </c>
      <c r="FZ31">
        <v>260</v>
      </c>
      <c r="GA31">
        <v>114</v>
      </c>
      <c r="GB31">
        <v>323</v>
      </c>
      <c r="GC31">
        <v>668</v>
      </c>
      <c r="GD31">
        <v>60</v>
      </c>
      <c r="GE31">
        <v>424</v>
      </c>
      <c r="GF31">
        <v>337</v>
      </c>
      <c r="GG31">
        <v>441</v>
      </c>
      <c r="GH31">
        <v>254</v>
      </c>
      <c r="GI31">
        <v>391</v>
      </c>
      <c r="GJ31">
        <v>463</v>
      </c>
      <c r="GK31">
        <v>307</v>
      </c>
      <c r="GL31">
        <v>662</v>
      </c>
    </row>
    <row r="32" spans="1:194" x14ac:dyDescent="0.2">
      <c r="A32" t="s">
        <v>24</v>
      </c>
      <c r="B32" s="22"/>
      <c r="C32" s="22"/>
      <c r="D32" s="22"/>
      <c r="E32" s="26">
        <f>SUM(H32:H33)</f>
        <v>4.2431372549019608E-3</v>
      </c>
      <c r="F32" s="26">
        <f>SUM(I32:I33)</f>
        <v>3.7037037037037037E-5</v>
      </c>
      <c r="G32" s="26">
        <f>SUM(J32:J33)</f>
        <v>1.9800724637681157E-3</v>
      </c>
      <c r="H32" s="5">
        <f t="shared" si="0"/>
        <v>2.7647058823529413E-3</v>
      </c>
      <c r="I32" s="5">
        <f t="shared" si="1"/>
        <v>1.6835016835016834E-5</v>
      </c>
      <c r="J32" s="5">
        <f t="shared" si="2"/>
        <v>1.286231884057971E-3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136</v>
      </c>
      <c r="AD32">
        <v>0</v>
      </c>
      <c r="AE32">
        <v>34</v>
      </c>
      <c r="AF32">
        <v>6</v>
      </c>
      <c r="AG32">
        <v>99</v>
      </c>
      <c r="AH32">
        <v>0</v>
      </c>
      <c r="AI32">
        <v>33</v>
      </c>
      <c r="AJ32">
        <v>0</v>
      </c>
      <c r="AK32">
        <v>162</v>
      </c>
      <c r="AL32">
        <v>0</v>
      </c>
      <c r="AM32">
        <v>0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38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17</v>
      </c>
      <c r="BK32">
        <v>4</v>
      </c>
      <c r="BL32">
        <v>0</v>
      </c>
      <c r="BM32">
        <v>0</v>
      </c>
      <c r="BN32">
        <v>3</v>
      </c>
      <c r="BO32">
        <v>0</v>
      </c>
      <c r="BP32">
        <v>16</v>
      </c>
      <c r="BQ32">
        <v>0</v>
      </c>
      <c r="BR32">
        <v>0</v>
      </c>
      <c r="BS32">
        <v>0</v>
      </c>
      <c r="BT32">
        <v>20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46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</v>
      </c>
      <c r="CN32">
        <v>1</v>
      </c>
      <c r="CO32">
        <v>0</v>
      </c>
      <c r="CP32">
        <v>66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0</v>
      </c>
    </row>
    <row r="33" spans="1:194" x14ac:dyDescent="0.2">
      <c r="A33" t="s">
        <v>27</v>
      </c>
      <c r="B33" s="22"/>
      <c r="C33" s="22"/>
      <c r="D33" s="22"/>
      <c r="E33" s="26"/>
      <c r="F33" s="26"/>
      <c r="G33" s="26"/>
      <c r="H33" s="5">
        <f t="shared" si="0"/>
        <v>1.4784313725490197E-3</v>
      </c>
      <c r="I33" s="5">
        <f t="shared" si="1"/>
        <v>2.0202020202020203E-5</v>
      </c>
      <c r="J33" s="5">
        <f t="shared" si="2"/>
        <v>6.9384057971014484E-4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82</v>
      </c>
      <c r="AD33">
        <v>0</v>
      </c>
      <c r="AE33">
        <v>11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36</v>
      </c>
      <c r="AL33">
        <v>2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38</v>
      </c>
      <c r="AW33">
        <v>3</v>
      </c>
      <c r="AX33">
        <v>0</v>
      </c>
      <c r="AY33">
        <v>0</v>
      </c>
      <c r="AZ33">
        <v>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147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</row>
    <row r="34" spans="1:194" x14ac:dyDescent="0.2">
      <c r="A34" s="12" t="s">
        <v>0</v>
      </c>
      <c r="B34" s="22"/>
      <c r="C34" s="22"/>
      <c r="D34" s="22"/>
      <c r="E34" s="31">
        <f>H34</f>
        <v>0.13123137254901959</v>
      </c>
      <c r="F34" s="31">
        <f>I34</f>
        <v>0.2547946127946128</v>
      </c>
      <c r="G34" s="31">
        <f>J34</f>
        <v>0.19771376811594205</v>
      </c>
      <c r="H34" s="13">
        <f t="shared" si="0"/>
        <v>0.13123137254901959</v>
      </c>
      <c r="I34" s="13">
        <f t="shared" si="1"/>
        <v>0.2547946127946128</v>
      </c>
      <c r="J34" s="13">
        <f t="shared" si="2"/>
        <v>0.19771376811594205</v>
      </c>
      <c r="K34" s="12">
        <v>770</v>
      </c>
      <c r="L34" s="12">
        <v>277</v>
      </c>
      <c r="M34" s="12">
        <v>319</v>
      </c>
      <c r="N34" s="12">
        <v>403</v>
      </c>
      <c r="O34" s="12">
        <v>613</v>
      </c>
      <c r="P34" s="12">
        <v>632</v>
      </c>
      <c r="Q34" s="12">
        <v>262</v>
      </c>
      <c r="R34" s="12">
        <v>226</v>
      </c>
      <c r="S34" s="12">
        <v>684</v>
      </c>
      <c r="T34" s="12">
        <v>591</v>
      </c>
      <c r="U34" s="12">
        <v>304</v>
      </c>
      <c r="V34" s="12">
        <v>674</v>
      </c>
      <c r="W34" s="12">
        <v>119</v>
      </c>
      <c r="X34" s="12">
        <v>308</v>
      </c>
      <c r="Y34" s="12">
        <v>802</v>
      </c>
      <c r="Z34" s="12">
        <v>605</v>
      </c>
      <c r="AA34" s="12">
        <v>177</v>
      </c>
      <c r="AB34" s="12">
        <v>395</v>
      </c>
      <c r="AC34" s="12">
        <v>273</v>
      </c>
      <c r="AD34" s="12">
        <v>748</v>
      </c>
      <c r="AE34" s="12">
        <v>333</v>
      </c>
      <c r="AF34" s="12">
        <v>333</v>
      </c>
      <c r="AG34" s="12">
        <v>650</v>
      </c>
      <c r="AH34" s="12">
        <v>265</v>
      </c>
      <c r="AI34" s="12">
        <v>550</v>
      </c>
      <c r="AJ34" s="12">
        <v>230</v>
      </c>
      <c r="AK34" s="12">
        <v>82</v>
      </c>
      <c r="AL34" s="12">
        <v>857</v>
      </c>
      <c r="AM34" s="12">
        <v>409</v>
      </c>
      <c r="AN34" s="12">
        <v>495</v>
      </c>
      <c r="AO34" s="12">
        <v>793</v>
      </c>
      <c r="AP34" s="12">
        <v>559</v>
      </c>
      <c r="AQ34" s="12">
        <v>319</v>
      </c>
      <c r="AR34" s="12">
        <v>482</v>
      </c>
      <c r="AS34" s="12">
        <v>508</v>
      </c>
      <c r="AT34" s="12">
        <v>581</v>
      </c>
      <c r="AU34" s="12">
        <v>483</v>
      </c>
      <c r="AV34" s="12">
        <v>346</v>
      </c>
      <c r="AW34" s="12">
        <v>126</v>
      </c>
      <c r="AX34" s="12">
        <v>244</v>
      </c>
      <c r="AY34" s="12">
        <v>246</v>
      </c>
      <c r="AZ34" s="12">
        <v>184</v>
      </c>
      <c r="BA34" s="12">
        <v>764</v>
      </c>
      <c r="BB34" s="12">
        <v>277</v>
      </c>
      <c r="BC34" s="12">
        <v>429</v>
      </c>
      <c r="BD34" s="12">
        <v>281</v>
      </c>
      <c r="BE34" s="12">
        <v>451</v>
      </c>
      <c r="BF34" s="12">
        <v>173</v>
      </c>
      <c r="BG34" s="12">
        <v>42</v>
      </c>
      <c r="BH34" s="12">
        <v>92</v>
      </c>
      <c r="BI34" s="12">
        <v>607</v>
      </c>
      <c r="BJ34" s="12">
        <v>51</v>
      </c>
      <c r="BK34" s="12">
        <v>552</v>
      </c>
      <c r="BL34" s="12">
        <v>507</v>
      </c>
      <c r="BM34" s="12">
        <v>465</v>
      </c>
      <c r="BN34" s="12">
        <v>153</v>
      </c>
      <c r="BO34" s="12">
        <v>47</v>
      </c>
      <c r="BP34" s="12">
        <v>160</v>
      </c>
      <c r="BQ34" s="12">
        <v>88</v>
      </c>
      <c r="BR34" s="12">
        <v>183</v>
      </c>
      <c r="BS34" s="12">
        <v>87</v>
      </c>
      <c r="BT34" s="12">
        <v>144</v>
      </c>
      <c r="BU34" s="12">
        <v>109</v>
      </c>
      <c r="BV34" s="12">
        <v>664</v>
      </c>
      <c r="BW34" s="12">
        <v>380</v>
      </c>
      <c r="BX34" s="12">
        <v>641</v>
      </c>
      <c r="BY34" s="12">
        <v>472</v>
      </c>
      <c r="BZ34" s="12">
        <v>238</v>
      </c>
      <c r="CA34" s="12">
        <v>642</v>
      </c>
      <c r="CB34" s="12">
        <v>175</v>
      </c>
      <c r="CC34" s="12">
        <v>341</v>
      </c>
      <c r="CD34" s="12">
        <v>518</v>
      </c>
      <c r="CE34" s="12">
        <v>587</v>
      </c>
      <c r="CF34" s="12">
        <v>744</v>
      </c>
      <c r="CG34" s="12">
        <v>95</v>
      </c>
      <c r="CH34" s="12">
        <v>455</v>
      </c>
      <c r="CI34" s="12">
        <v>504</v>
      </c>
      <c r="CJ34" s="12">
        <v>466</v>
      </c>
      <c r="CK34" s="12">
        <v>269</v>
      </c>
      <c r="CL34" s="12">
        <v>244</v>
      </c>
      <c r="CM34" s="12">
        <v>687</v>
      </c>
      <c r="CN34" s="12">
        <v>417</v>
      </c>
      <c r="CO34" s="12">
        <v>301</v>
      </c>
      <c r="CP34" s="12">
        <v>481</v>
      </c>
      <c r="CQ34" s="12">
        <v>224</v>
      </c>
      <c r="CR34" s="12">
        <v>198</v>
      </c>
      <c r="CS34" s="12">
        <v>706</v>
      </c>
      <c r="CT34" s="12">
        <v>893</v>
      </c>
      <c r="CU34" s="12">
        <v>623</v>
      </c>
      <c r="CV34" s="12">
        <v>724</v>
      </c>
      <c r="CW34" s="12">
        <v>963</v>
      </c>
      <c r="CX34" s="12">
        <v>1168</v>
      </c>
      <c r="CY34" s="12">
        <v>1102</v>
      </c>
      <c r="CZ34" s="12">
        <v>889</v>
      </c>
      <c r="DA34" s="12">
        <v>429</v>
      </c>
      <c r="DB34" s="12">
        <v>958</v>
      </c>
      <c r="DC34" s="12">
        <v>1080</v>
      </c>
      <c r="DD34" s="12">
        <v>1177</v>
      </c>
      <c r="DE34" s="12">
        <v>1166</v>
      </c>
      <c r="DF34" s="12">
        <v>927</v>
      </c>
      <c r="DG34" s="12">
        <v>889</v>
      </c>
      <c r="DH34" s="12">
        <v>1064</v>
      </c>
      <c r="DI34" s="12">
        <v>1058</v>
      </c>
      <c r="DJ34" s="12">
        <v>705</v>
      </c>
      <c r="DK34" s="12">
        <v>888</v>
      </c>
      <c r="DL34" s="12">
        <v>612</v>
      </c>
      <c r="DM34" s="12">
        <v>937</v>
      </c>
      <c r="DN34" s="12">
        <v>859</v>
      </c>
      <c r="DO34" s="12">
        <v>503</v>
      </c>
      <c r="DP34" s="12">
        <v>750</v>
      </c>
      <c r="DQ34" s="12">
        <v>783</v>
      </c>
      <c r="DR34" s="12">
        <v>546</v>
      </c>
      <c r="DS34" s="12">
        <v>839</v>
      </c>
      <c r="DT34" s="12">
        <v>918</v>
      </c>
      <c r="DU34" s="12">
        <v>771</v>
      </c>
      <c r="DV34" s="12">
        <v>743</v>
      </c>
      <c r="DW34" s="12">
        <v>585</v>
      </c>
      <c r="DX34" s="12">
        <v>794</v>
      </c>
      <c r="DY34" s="12">
        <v>683</v>
      </c>
      <c r="DZ34" s="12">
        <v>710</v>
      </c>
      <c r="EA34" s="12">
        <v>869</v>
      </c>
      <c r="EB34" s="12">
        <v>869</v>
      </c>
      <c r="EC34" s="12">
        <v>705</v>
      </c>
      <c r="ED34" s="12">
        <v>955</v>
      </c>
      <c r="EE34" s="12">
        <v>571</v>
      </c>
      <c r="EF34" s="12">
        <v>499</v>
      </c>
      <c r="EG34" s="12">
        <v>533</v>
      </c>
      <c r="EH34" s="12">
        <v>822</v>
      </c>
      <c r="EI34" s="12">
        <v>717</v>
      </c>
      <c r="EJ34" s="12">
        <v>839</v>
      </c>
      <c r="EK34" s="12">
        <v>821</v>
      </c>
      <c r="EL34" s="12">
        <v>462</v>
      </c>
      <c r="EM34" s="12">
        <v>626</v>
      </c>
      <c r="EN34" s="12">
        <v>861</v>
      </c>
      <c r="EO34" s="12">
        <v>568</v>
      </c>
      <c r="EP34" s="12">
        <v>840</v>
      </c>
      <c r="EQ34" s="12">
        <v>996</v>
      </c>
      <c r="ER34" s="12">
        <v>927</v>
      </c>
      <c r="ES34" s="12">
        <v>752</v>
      </c>
      <c r="ET34" s="12">
        <v>616</v>
      </c>
      <c r="EU34" s="12">
        <v>910</v>
      </c>
      <c r="EV34" s="12">
        <v>977</v>
      </c>
      <c r="EW34" s="12">
        <v>806</v>
      </c>
      <c r="EX34" s="12">
        <v>829</v>
      </c>
      <c r="EY34" s="12">
        <v>738</v>
      </c>
      <c r="EZ34" s="12">
        <v>853</v>
      </c>
      <c r="FA34" s="12">
        <v>670</v>
      </c>
      <c r="FB34" s="12">
        <v>537</v>
      </c>
      <c r="FC34" s="12">
        <v>741</v>
      </c>
      <c r="FD34" s="12">
        <v>891</v>
      </c>
      <c r="FE34" s="12">
        <v>804</v>
      </c>
      <c r="FF34" s="12">
        <v>1023</v>
      </c>
      <c r="FG34" s="12">
        <v>1118</v>
      </c>
      <c r="FH34" s="12">
        <v>1051</v>
      </c>
      <c r="FI34" s="12">
        <v>913</v>
      </c>
      <c r="FJ34" s="12">
        <v>552</v>
      </c>
      <c r="FK34" s="12">
        <v>724</v>
      </c>
      <c r="FL34" s="12">
        <v>798</v>
      </c>
      <c r="FM34" s="12">
        <v>502</v>
      </c>
      <c r="FN34" s="12">
        <v>868</v>
      </c>
      <c r="FO34" s="12">
        <v>933</v>
      </c>
      <c r="FP34" s="12">
        <v>649</v>
      </c>
      <c r="FQ34" s="12">
        <v>839</v>
      </c>
      <c r="FR34" s="12">
        <v>1020</v>
      </c>
      <c r="FS34" s="12">
        <v>665</v>
      </c>
      <c r="FT34" s="12">
        <v>509</v>
      </c>
      <c r="FU34" s="12">
        <v>447</v>
      </c>
      <c r="FV34" s="12">
        <v>957</v>
      </c>
      <c r="FW34" s="12">
        <v>845</v>
      </c>
      <c r="FX34" s="12">
        <v>720</v>
      </c>
      <c r="FY34" s="12">
        <v>1096</v>
      </c>
      <c r="FZ34" s="12">
        <v>479</v>
      </c>
      <c r="GA34" s="12">
        <v>623</v>
      </c>
      <c r="GB34" s="12">
        <v>624</v>
      </c>
      <c r="GC34" s="12">
        <v>670</v>
      </c>
      <c r="GD34" s="12">
        <v>603</v>
      </c>
      <c r="GE34" s="12">
        <v>478</v>
      </c>
      <c r="GF34" s="12">
        <v>728</v>
      </c>
      <c r="GG34" s="12">
        <v>470</v>
      </c>
      <c r="GH34" s="12">
        <v>338</v>
      </c>
      <c r="GI34" s="12">
        <v>468</v>
      </c>
      <c r="GJ34" s="12">
        <v>626</v>
      </c>
      <c r="GK34" s="12">
        <v>631</v>
      </c>
      <c r="GL34" s="12">
        <v>463</v>
      </c>
    </row>
    <row r="35" spans="1:194" x14ac:dyDescent="0.2">
      <c r="A35" t="s">
        <v>19</v>
      </c>
      <c r="B35" s="22"/>
      <c r="C35" s="22"/>
      <c r="D35" s="22"/>
      <c r="E35" s="26">
        <f>SUM(H35:H36)</f>
        <v>7.803921568627451E-4</v>
      </c>
      <c r="F35" s="26">
        <f>SUM(I35:I36)</f>
        <v>8.0134680134680129E-4</v>
      </c>
      <c r="G35" s="26">
        <f>SUM(J35:J36)</f>
        <v>7.9166666666666665E-4</v>
      </c>
      <c r="H35" s="5">
        <f t="shared" si="0"/>
        <v>7.0980392156862746E-4</v>
      </c>
      <c r="I35" s="5">
        <f t="shared" si="1"/>
        <v>8.0134680134680129E-4</v>
      </c>
      <c r="J35" s="5">
        <f t="shared" si="2"/>
        <v>7.5905797101449271E-4</v>
      </c>
      <c r="K35">
        <v>0</v>
      </c>
      <c r="L35">
        <v>43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8</v>
      </c>
      <c r="AW35">
        <v>0</v>
      </c>
      <c r="AX35">
        <v>0</v>
      </c>
      <c r="AY35">
        <v>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5</v>
      </c>
      <c r="BJ35">
        <v>0</v>
      </c>
      <c r="BK35">
        <v>0</v>
      </c>
      <c r="BL35">
        <v>0</v>
      </c>
      <c r="BM35">
        <v>0</v>
      </c>
      <c r="BN35">
        <v>3</v>
      </c>
      <c r="BO35">
        <v>0</v>
      </c>
      <c r="BP35">
        <v>0</v>
      </c>
      <c r="BQ35">
        <v>0</v>
      </c>
      <c r="BR35">
        <v>5</v>
      </c>
      <c r="BS35">
        <v>1</v>
      </c>
      <c r="BT35">
        <v>0</v>
      </c>
      <c r="BU35">
        <v>0</v>
      </c>
      <c r="BV35">
        <v>4</v>
      </c>
      <c r="BW35">
        <v>10</v>
      </c>
      <c r="BX35">
        <v>0</v>
      </c>
      <c r="BY35">
        <v>0</v>
      </c>
      <c r="BZ35">
        <v>2</v>
      </c>
      <c r="CA35">
        <v>4</v>
      </c>
      <c r="CB35">
        <v>2</v>
      </c>
      <c r="CC35">
        <v>1</v>
      </c>
      <c r="CD35">
        <v>7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4</v>
      </c>
      <c r="CN35">
        <v>0</v>
      </c>
      <c r="CO35">
        <v>0</v>
      </c>
      <c r="CP35">
        <v>0</v>
      </c>
      <c r="CQ35">
        <v>0</v>
      </c>
      <c r="CR35">
        <v>135</v>
      </c>
      <c r="CS35">
        <v>0</v>
      </c>
      <c r="CT35">
        <v>0</v>
      </c>
      <c r="CU35">
        <v>79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4</v>
      </c>
      <c r="DW35">
        <v>0</v>
      </c>
      <c r="DX35">
        <v>0</v>
      </c>
      <c r="DY35">
        <v>0</v>
      </c>
      <c r="DZ35">
        <v>9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2</v>
      </c>
      <c r="FK35">
        <v>0</v>
      </c>
      <c r="FL35">
        <v>0</v>
      </c>
      <c r="FM35">
        <v>2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</row>
    <row r="36" spans="1:194" x14ac:dyDescent="0.2">
      <c r="A36" t="s">
        <v>36</v>
      </c>
      <c r="B36" s="22"/>
      <c r="C36" s="22"/>
      <c r="D36" s="22"/>
      <c r="E36" s="26"/>
      <c r="F36" s="26"/>
      <c r="G36" s="26"/>
      <c r="H36" s="5">
        <f t="shared" si="0"/>
        <v>7.0588235294117641E-5</v>
      </c>
      <c r="I36" s="5">
        <f t="shared" si="1"/>
        <v>0</v>
      </c>
      <c r="J36" s="5">
        <f t="shared" si="2"/>
        <v>3.2608695652173917E-5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</row>
    <row r="37" spans="1:194" x14ac:dyDescent="0.2">
      <c r="A37" t="s">
        <v>8</v>
      </c>
      <c r="B37" s="22"/>
      <c r="C37" s="22"/>
      <c r="D37" s="22"/>
      <c r="E37" s="27">
        <f>H37</f>
        <v>1.9607843137254903E-5</v>
      </c>
      <c r="F37" s="27">
        <f>I37</f>
        <v>2.1077441077441078E-3</v>
      </c>
      <c r="G37" s="27">
        <f>J37</f>
        <v>1.1431159420289855E-3</v>
      </c>
      <c r="H37" s="5">
        <f t="shared" si="0"/>
        <v>1.9607843137254903E-5</v>
      </c>
      <c r="I37" s="5">
        <f t="shared" si="1"/>
        <v>2.1077441077441078E-3</v>
      </c>
      <c r="J37" s="5">
        <f t="shared" si="2"/>
        <v>1.1431159420289855E-3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23</v>
      </c>
      <c r="CT37">
        <v>0</v>
      </c>
      <c r="CU37">
        <v>10</v>
      </c>
      <c r="CV37">
        <v>0</v>
      </c>
      <c r="CW37">
        <v>0</v>
      </c>
      <c r="CX37">
        <v>0</v>
      </c>
      <c r="CY37">
        <v>0</v>
      </c>
      <c r="CZ37">
        <v>24</v>
      </c>
      <c r="DA37">
        <v>0</v>
      </c>
      <c r="DB37">
        <v>34</v>
      </c>
      <c r="DC37">
        <v>7</v>
      </c>
      <c r="DD37">
        <v>31</v>
      </c>
      <c r="DE37">
        <v>18</v>
      </c>
      <c r="DF37">
        <v>22</v>
      </c>
      <c r="DG37">
        <v>3</v>
      </c>
      <c r="DH37">
        <v>0</v>
      </c>
      <c r="DI37">
        <v>3</v>
      </c>
      <c r="DJ37">
        <v>0</v>
      </c>
      <c r="DK37">
        <v>1</v>
      </c>
      <c r="DL37">
        <v>0</v>
      </c>
      <c r="DM37">
        <v>2</v>
      </c>
      <c r="DN37">
        <v>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2</v>
      </c>
      <c r="DU37">
        <v>1</v>
      </c>
      <c r="DV37">
        <v>1</v>
      </c>
      <c r="DW37">
        <v>2</v>
      </c>
      <c r="DX37">
        <v>0</v>
      </c>
      <c r="DY37">
        <v>0</v>
      </c>
      <c r="DZ37">
        <v>0</v>
      </c>
      <c r="EA37">
        <v>6</v>
      </c>
      <c r="EB37">
        <v>1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7</v>
      </c>
      <c r="EJ37">
        <v>0</v>
      </c>
      <c r="EK37">
        <v>8</v>
      </c>
      <c r="EL37">
        <v>0</v>
      </c>
      <c r="EM37">
        <v>0</v>
      </c>
      <c r="EN37">
        <v>10</v>
      </c>
      <c r="EO37">
        <v>5</v>
      </c>
      <c r="EP37">
        <v>0</v>
      </c>
      <c r="EQ37">
        <v>4</v>
      </c>
      <c r="ER37">
        <v>7</v>
      </c>
      <c r="ES37">
        <v>3</v>
      </c>
      <c r="ET37">
        <v>0</v>
      </c>
      <c r="EU37">
        <v>8</v>
      </c>
      <c r="EV37">
        <v>7</v>
      </c>
      <c r="EW37">
        <v>9</v>
      </c>
      <c r="EX37">
        <v>13</v>
      </c>
      <c r="EY37">
        <v>8</v>
      </c>
      <c r="EZ37">
        <v>57</v>
      </c>
      <c r="FA37">
        <v>3</v>
      </c>
      <c r="FB37">
        <v>5</v>
      </c>
      <c r="FC37">
        <v>5</v>
      </c>
      <c r="FD37">
        <v>8</v>
      </c>
      <c r="FE37">
        <v>19</v>
      </c>
      <c r="FF37">
        <v>1</v>
      </c>
      <c r="FG37">
        <v>6</v>
      </c>
      <c r="FH37">
        <v>7</v>
      </c>
      <c r="FI37">
        <v>4</v>
      </c>
      <c r="FJ37">
        <v>23</v>
      </c>
      <c r="FK37">
        <v>4</v>
      </c>
      <c r="FL37">
        <v>5</v>
      </c>
      <c r="FM37">
        <v>0</v>
      </c>
      <c r="FN37">
        <v>12</v>
      </c>
      <c r="FO37">
        <v>1</v>
      </c>
      <c r="FP37">
        <v>4</v>
      </c>
      <c r="FQ37">
        <v>1</v>
      </c>
      <c r="FR37">
        <v>0</v>
      </c>
      <c r="FS37">
        <v>2</v>
      </c>
      <c r="FT37">
        <v>0</v>
      </c>
      <c r="FU37">
        <v>8</v>
      </c>
      <c r="FV37">
        <v>12</v>
      </c>
      <c r="FW37">
        <v>11</v>
      </c>
      <c r="FX37">
        <v>31</v>
      </c>
      <c r="FY37">
        <v>0</v>
      </c>
      <c r="FZ37">
        <v>1</v>
      </c>
      <c r="GA37">
        <v>5</v>
      </c>
      <c r="GB37">
        <v>0</v>
      </c>
      <c r="GC37">
        <v>0</v>
      </c>
      <c r="GD37">
        <v>0</v>
      </c>
      <c r="GE37">
        <v>43</v>
      </c>
      <c r="GF37">
        <v>6</v>
      </c>
      <c r="GG37">
        <v>12</v>
      </c>
      <c r="GH37">
        <v>0</v>
      </c>
      <c r="GI37">
        <v>1</v>
      </c>
      <c r="GJ37">
        <v>30</v>
      </c>
      <c r="GK37">
        <v>0</v>
      </c>
      <c r="GL37">
        <v>15</v>
      </c>
    </row>
    <row r="38" spans="1:194" x14ac:dyDescent="0.2">
      <c r="A38" t="s">
        <v>16</v>
      </c>
      <c r="B38" s="4">
        <f>H38</f>
        <v>2.6392156862745098E-3</v>
      </c>
      <c r="C38" s="4">
        <f t="shared" ref="C38:D38" si="4">I38</f>
        <v>1.8080808080808079E-3</v>
      </c>
      <c r="D38" s="4">
        <f t="shared" si="4"/>
        <v>2.1920289855072465E-3</v>
      </c>
      <c r="E38" s="27">
        <f>H38</f>
        <v>2.6392156862745098E-3</v>
      </c>
      <c r="F38" s="27">
        <f>I38</f>
        <v>1.8080808080808079E-3</v>
      </c>
      <c r="G38" s="27">
        <f>J38</f>
        <v>2.1920289855072465E-3</v>
      </c>
      <c r="H38" s="5">
        <f t="shared" si="0"/>
        <v>2.6392156862745098E-3</v>
      </c>
      <c r="I38" s="5">
        <f t="shared" si="1"/>
        <v>1.8080808080808079E-3</v>
      </c>
      <c r="J38" s="5">
        <f t="shared" si="2"/>
        <v>2.1920289855072465E-3</v>
      </c>
      <c r="K38">
        <v>11</v>
      </c>
      <c r="L38">
        <v>6</v>
      </c>
      <c r="M38">
        <v>8</v>
      </c>
      <c r="N38">
        <v>2</v>
      </c>
      <c r="O38">
        <v>13</v>
      </c>
      <c r="P38">
        <v>10</v>
      </c>
      <c r="Q38">
        <v>0</v>
      </c>
      <c r="R38">
        <v>0</v>
      </c>
      <c r="S38">
        <v>4</v>
      </c>
      <c r="T38">
        <v>14</v>
      </c>
      <c r="U38">
        <v>1</v>
      </c>
      <c r="V38">
        <v>0</v>
      </c>
      <c r="W38">
        <v>11</v>
      </c>
      <c r="X38">
        <v>2</v>
      </c>
      <c r="Y38">
        <v>4</v>
      </c>
      <c r="Z38">
        <v>11</v>
      </c>
      <c r="AA38">
        <v>0</v>
      </c>
      <c r="AB38">
        <v>0</v>
      </c>
      <c r="AC38">
        <v>0</v>
      </c>
      <c r="AD38">
        <v>8</v>
      </c>
      <c r="AE38">
        <v>3</v>
      </c>
      <c r="AF38">
        <v>0</v>
      </c>
      <c r="AG38">
        <v>98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2</v>
      </c>
      <c r="AP38">
        <v>18</v>
      </c>
      <c r="AQ38">
        <v>0</v>
      </c>
      <c r="AR38">
        <v>4</v>
      </c>
      <c r="AS38">
        <v>13</v>
      </c>
      <c r="AT38">
        <v>0</v>
      </c>
      <c r="AU38">
        <v>2</v>
      </c>
      <c r="AV38">
        <v>16</v>
      </c>
      <c r="AW38">
        <v>20</v>
      </c>
      <c r="AX38">
        <v>0</v>
      </c>
      <c r="AY38">
        <v>0</v>
      </c>
      <c r="AZ38">
        <v>54</v>
      </c>
      <c r="BA38">
        <v>3</v>
      </c>
      <c r="BB38">
        <v>0</v>
      </c>
      <c r="BC38">
        <v>4</v>
      </c>
      <c r="BD38">
        <v>0</v>
      </c>
      <c r="BE38">
        <v>0</v>
      </c>
      <c r="BF38">
        <v>0</v>
      </c>
      <c r="BG38">
        <v>0</v>
      </c>
      <c r="BH38">
        <v>10</v>
      </c>
      <c r="BI38">
        <v>43</v>
      </c>
      <c r="BJ38">
        <v>71</v>
      </c>
      <c r="BK38">
        <v>0</v>
      </c>
      <c r="BL38">
        <v>26</v>
      </c>
      <c r="BM38">
        <v>28</v>
      </c>
      <c r="BN38">
        <v>0</v>
      </c>
      <c r="BO38">
        <v>33</v>
      </c>
      <c r="BP38">
        <v>0</v>
      </c>
      <c r="BQ38">
        <v>0</v>
      </c>
      <c r="BR38">
        <v>2</v>
      </c>
      <c r="BS38">
        <v>17</v>
      </c>
      <c r="BT38">
        <v>0</v>
      </c>
      <c r="BU38">
        <v>18</v>
      </c>
      <c r="BV38">
        <v>11</v>
      </c>
      <c r="BW38">
        <v>0</v>
      </c>
      <c r="BX38">
        <v>3</v>
      </c>
      <c r="BY38">
        <v>1</v>
      </c>
      <c r="BZ38">
        <v>8</v>
      </c>
      <c r="CA38">
        <v>1</v>
      </c>
      <c r="CB38">
        <v>0</v>
      </c>
      <c r="CC38">
        <v>0</v>
      </c>
      <c r="CD38">
        <v>0</v>
      </c>
      <c r="CE38">
        <v>6</v>
      </c>
      <c r="CF38">
        <v>0</v>
      </c>
      <c r="CG38">
        <v>0</v>
      </c>
      <c r="CH38">
        <v>0</v>
      </c>
      <c r="CI38">
        <v>14</v>
      </c>
      <c r="CJ38">
        <v>26</v>
      </c>
      <c r="CK38">
        <v>0</v>
      </c>
      <c r="CL38">
        <v>0</v>
      </c>
      <c r="CM38">
        <v>0</v>
      </c>
      <c r="CN38">
        <v>2</v>
      </c>
      <c r="CO38">
        <v>0</v>
      </c>
      <c r="CP38">
        <v>8</v>
      </c>
      <c r="CQ38">
        <v>0</v>
      </c>
      <c r="CR38">
        <v>0</v>
      </c>
      <c r="CS38">
        <v>89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7</v>
      </c>
      <c r="DA38">
        <v>0</v>
      </c>
      <c r="DB38">
        <v>4</v>
      </c>
      <c r="DC38">
        <v>12</v>
      </c>
      <c r="DD38">
        <v>1</v>
      </c>
      <c r="DE38">
        <v>10</v>
      </c>
      <c r="DF38">
        <v>3</v>
      </c>
      <c r="DG38">
        <v>0</v>
      </c>
      <c r="DH38">
        <v>35</v>
      </c>
      <c r="DI38">
        <v>3</v>
      </c>
      <c r="DJ38">
        <v>0</v>
      </c>
      <c r="DK38">
        <v>0</v>
      </c>
      <c r="DL38">
        <v>0</v>
      </c>
      <c r="DM38">
        <v>1</v>
      </c>
      <c r="DN38">
        <v>16</v>
      </c>
      <c r="DO38">
        <v>2</v>
      </c>
      <c r="DP38">
        <v>17</v>
      </c>
      <c r="DQ38">
        <v>1</v>
      </c>
      <c r="DR38">
        <v>4</v>
      </c>
      <c r="DS38">
        <v>0</v>
      </c>
      <c r="DT38">
        <v>0</v>
      </c>
      <c r="DU38">
        <v>4</v>
      </c>
      <c r="DV38">
        <v>0</v>
      </c>
      <c r="DW38">
        <v>1</v>
      </c>
      <c r="DX38">
        <v>0</v>
      </c>
      <c r="DY38">
        <v>15</v>
      </c>
      <c r="DZ38">
        <v>3</v>
      </c>
      <c r="EA38">
        <v>0</v>
      </c>
      <c r="EB38">
        <v>14</v>
      </c>
      <c r="EC38">
        <v>0</v>
      </c>
      <c r="ED38">
        <v>22</v>
      </c>
      <c r="EE38">
        <v>0</v>
      </c>
      <c r="EF38">
        <v>0</v>
      </c>
      <c r="EG38">
        <v>0</v>
      </c>
      <c r="EH38">
        <v>11</v>
      </c>
      <c r="EI38">
        <v>0</v>
      </c>
      <c r="EJ38">
        <v>0</v>
      </c>
      <c r="EK38">
        <v>0</v>
      </c>
      <c r="EL38">
        <v>2</v>
      </c>
      <c r="EM38">
        <v>3</v>
      </c>
      <c r="EN38">
        <v>0</v>
      </c>
      <c r="EO38">
        <v>22</v>
      </c>
      <c r="EP38">
        <v>0</v>
      </c>
      <c r="EQ38">
        <v>2</v>
      </c>
      <c r="ER38">
        <v>2</v>
      </c>
      <c r="ES38">
        <v>0</v>
      </c>
      <c r="ET38">
        <v>0</v>
      </c>
      <c r="EU38">
        <v>5</v>
      </c>
      <c r="EV38">
        <v>0</v>
      </c>
      <c r="EW38">
        <v>1</v>
      </c>
      <c r="EX38">
        <v>0</v>
      </c>
      <c r="EY38">
        <v>6</v>
      </c>
      <c r="EZ38">
        <v>0</v>
      </c>
      <c r="FA38">
        <v>0</v>
      </c>
      <c r="FB38">
        <v>4</v>
      </c>
      <c r="FC38">
        <v>0</v>
      </c>
      <c r="FD38">
        <v>3</v>
      </c>
      <c r="FE38">
        <v>8</v>
      </c>
      <c r="FF38">
        <v>3</v>
      </c>
      <c r="FG38">
        <v>37</v>
      </c>
      <c r="FH38">
        <v>7</v>
      </c>
      <c r="FI38">
        <v>1</v>
      </c>
      <c r="FJ38">
        <v>0</v>
      </c>
      <c r="FK38">
        <v>12</v>
      </c>
      <c r="FL38">
        <v>0</v>
      </c>
      <c r="FM38">
        <v>7</v>
      </c>
      <c r="FN38">
        <v>0</v>
      </c>
      <c r="FO38">
        <v>3</v>
      </c>
      <c r="FP38">
        <v>0</v>
      </c>
      <c r="FQ38">
        <v>0</v>
      </c>
      <c r="FR38">
        <v>6</v>
      </c>
      <c r="FS38">
        <v>6</v>
      </c>
      <c r="FT38">
        <v>29</v>
      </c>
      <c r="FU38">
        <v>4</v>
      </c>
      <c r="FV38">
        <v>1</v>
      </c>
      <c r="FW38">
        <v>39</v>
      </c>
      <c r="FX38">
        <v>5</v>
      </c>
      <c r="FY38">
        <v>0</v>
      </c>
      <c r="FZ38">
        <v>5</v>
      </c>
      <c r="GA38">
        <v>9</v>
      </c>
      <c r="GB38">
        <v>7</v>
      </c>
      <c r="GC38">
        <v>2</v>
      </c>
      <c r="GD38">
        <v>0</v>
      </c>
      <c r="GE38">
        <v>0</v>
      </c>
      <c r="GF38">
        <v>0</v>
      </c>
      <c r="GG38">
        <v>7</v>
      </c>
      <c r="GH38">
        <v>0</v>
      </c>
      <c r="GI38">
        <v>0</v>
      </c>
      <c r="GJ38">
        <v>0</v>
      </c>
      <c r="GK38">
        <v>4</v>
      </c>
      <c r="GL38">
        <v>9</v>
      </c>
    </row>
    <row r="39" spans="1:194" x14ac:dyDescent="0.2">
      <c r="A39" t="s">
        <v>14</v>
      </c>
      <c r="B39" s="21">
        <f>SUM(H39:H41)</f>
        <v>2.4823529411764707E-3</v>
      </c>
      <c r="C39" s="21">
        <f>SUM(I39:I41)</f>
        <v>1.9225589225589227E-3</v>
      </c>
      <c r="D39" s="21">
        <f>SUM(J39:J41)</f>
        <v>2.1811594202898552E-3</v>
      </c>
      <c r="E39" s="26">
        <f>SUM(H39:H40)</f>
        <v>1.9294117647058824E-3</v>
      </c>
      <c r="F39" s="26">
        <f>SUM(I39:I40)</f>
        <v>1.1784511784511786E-3</v>
      </c>
      <c r="G39" s="26">
        <f>SUM(J39:J40)</f>
        <v>1.5253623188405797E-3</v>
      </c>
      <c r="H39" s="5">
        <f t="shared" si="0"/>
        <v>1.827450980392157E-3</v>
      </c>
      <c r="I39" s="5">
        <f t="shared" si="1"/>
        <v>1.1784511784511786E-3</v>
      </c>
      <c r="J39" s="5">
        <f t="shared" si="2"/>
        <v>1.4782608695652175E-3</v>
      </c>
      <c r="K39">
        <v>3</v>
      </c>
      <c r="L39">
        <v>4</v>
      </c>
      <c r="M39">
        <v>0</v>
      </c>
      <c r="N39">
        <v>1</v>
      </c>
      <c r="O39">
        <v>0</v>
      </c>
      <c r="P39">
        <v>0</v>
      </c>
      <c r="Q39">
        <v>11</v>
      </c>
      <c r="R39">
        <v>8</v>
      </c>
      <c r="S39">
        <v>1</v>
      </c>
      <c r="T39">
        <v>5</v>
      </c>
      <c r="U39">
        <v>2</v>
      </c>
      <c r="V39">
        <v>0</v>
      </c>
      <c r="W39">
        <v>12</v>
      </c>
      <c r="X39">
        <v>0</v>
      </c>
      <c r="Y39">
        <v>3</v>
      </c>
      <c r="Z39">
        <v>10</v>
      </c>
      <c r="AA39">
        <v>5</v>
      </c>
      <c r="AB39">
        <v>4</v>
      </c>
      <c r="AC39">
        <v>7</v>
      </c>
      <c r="AD39">
        <v>4</v>
      </c>
      <c r="AE39">
        <v>4</v>
      </c>
      <c r="AF39">
        <v>2</v>
      </c>
      <c r="AG39">
        <v>0</v>
      </c>
      <c r="AH39">
        <v>3</v>
      </c>
      <c r="AI39">
        <v>4</v>
      </c>
      <c r="AJ39">
        <v>1</v>
      </c>
      <c r="AK39">
        <v>1</v>
      </c>
      <c r="AL39">
        <v>0</v>
      </c>
      <c r="AM39">
        <v>0</v>
      </c>
      <c r="AN39">
        <v>2</v>
      </c>
      <c r="AO39">
        <v>4</v>
      </c>
      <c r="AP39">
        <v>0</v>
      </c>
      <c r="AQ39">
        <v>0</v>
      </c>
      <c r="AR39">
        <v>3</v>
      </c>
      <c r="AS39">
        <v>4</v>
      </c>
      <c r="AT39">
        <v>6</v>
      </c>
      <c r="AU39">
        <v>5</v>
      </c>
      <c r="AV39">
        <v>5</v>
      </c>
      <c r="AW39">
        <v>4</v>
      </c>
      <c r="AX39">
        <v>7</v>
      </c>
      <c r="AY39">
        <v>1</v>
      </c>
      <c r="AZ39">
        <v>1</v>
      </c>
      <c r="BA39">
        <v>8</v>
      </c>
      <c r="BB39">
        <v>33</v>
      </c>
      <c r="BC39">
        <v>8</v>
      </c>
      <c r="BD39">
        <v>16</v>
      </c>
      <c r="BE39">
        <v>9</v>
      </c>
      <c r="BF39">
        <v>8</v>
      </c>
      <c r="BG39">
        <v>7</v>
      </c>
      <c r="BH39">
        <v>7</v>
      </c>
      <c r="BI39">
        <v>5</v>
      </c>
      <c r="BJ39">
        <v>5</v>
      </c>
      <c r="BK39">
        <v>1</v>
      </c>
      <c r="BL39">
        <v>9</v>
      </c>
      <c r="BM39">
        <v>12</v>
      </c>
      <c r="BN39">
        <v>4</v>
      </c>
      <c r="BO39">
        <v>8</v>
      </c>
      <c r="BP39">
        <v>8</v>
      </c>
      <c r="BQ39">
        <v>38</v>
      </c>
      <c r="BR39">
        <v>3</v>
      </c>
      <c r="BS39">
        <v>2</v>
      </c>
      <c r="BT39">
        <v>2</v>
      </c>
      <c r="BU39">
        <v>3</v>
      </c>
      <c r="BV39">
        <v>11</v>
      </c>
      <c r="BW39">
        <v>15</v>
      </c>
      <c r="BX39">
        <v>9</v>
      </c>
      <c r="BY39">
        <v>2</v>
      </c>
      <c r="BZ39">
        <v>15</v>
      </c>
      <c r="CA39">
        <v>0</v>
      </c>
      <c r="CB39">
        <v>4</v>
      </c>
      <c r="CC39">
        <v>5</v>
      </c>
      <c r="CD39">
        <v>11</v>
      </c>
      <c r="CE39">
        <v>7</v>
      </c>
      <c r="CF39">
        <v>0</v>
      </c>
      <c r="CG39">
        <v>6</v>
      </c>
      <c r="CH39">
        <v>18</v>
      </c>
      <c r="CI39">
        <v>3</v>
      </c>
      <c r="CJ39">
        <v>10</v>
      </c>
      <c r="CK39">
        <v>3</v>
      </c>
      <c r="CL39">
        <v>8</v>
      </c>
      <c r="CM39">
        <v>0</v>
      </c>
      <c r="CN39">
        <v>0</v>
      </c>
      <c r="CO39">
        <v>4</v>
      </c>
      <c r="CP39">
        <v>0</v>
      </c>
      <c r="CQ39">
        <v>2</v>
      </c>
      <c r="CR39">
        <v>1</v>
      </c>
      <c r="CS39">
        <v>12</v>
      </c>
      <c r="CT39">
        <v>1</v>
      </c>
      <c r="CU39">
        <v>2</v>
      </c>
      <c r="CV39">
        <v>4</v>
      </c>
      <c r="CW39">
        <v>2</v>
      </c>
      <c r="CX39">
        <v>0</v>
      </c>
      <c r="CY39">
        <v>0</v>
      </c>
      <c r="CZ39">
        <v>2</v>
      </c>
      <c r="DA39">
        <v>1</v>
      </c>
      <c r="DB39">
        <v>0</v>
      </c>
      <c r="DC39">
        <v>12</v>
      </c>
      <c r="DD39">
        <v>1</v>
      </c>
      <c r="DE39">
        <v>0</v>
      </c>
      <c r="DF39">
        <v>0</v>
      </c>
      <c r="DG39">
        <v>2</v>
      </c>
      <c r="DH39">
        <v>1</v>
      </c>
      <c r="DI39">
        <v>0</v>
      </c>
      <c r="DJ39">
        <v>39</v>
      </c>
      <c r="DK39">
        <v>12</v>
      </c>
      <c r="DL39">
        <v>0</v>
      </c>
      <c r="DM39">
        <v>4</v>
      </c>
      <c r="DN39">
        <v>2</v>
      </c>
      <c r="DO39">
        <v>1</v>
      </c>
      <c r="DP39">
        <v>9</v>
      </c>
      <c r="DQ39">
        <v>8</v>
      </c>
      <c r="DR39">
        <v>2</v>
      </c>
      <c r="DS39">
        <v>1</v>
      </c>
      <c r="DT39">
        <v>8</v>
      </c>
      <c r="DU39">
        <v>5</v>
      </c>
      <c r="DV39">
        <v>1</v>
      </c>
      <c r="DW39">
        <v>3</v>
      </c>
      <c r="DX39">
        <v>10</v>
      </c>
      <c r="DY39">
        <v>20</v>
      </c>
      <c r="DZ39">
        <v>1</v>
      </c>
      <c r="EA39">
        <v>4</v>
      </c>
      <c r="EB39">
        <v>9</v>
      </c>
      <c r="EC39">
        <v>1</v>
      </c>
      <c r="ED39">
        <v>2</v>
      </c>
      <c r="EE39">
        <v>5</v>
      </c>
      <c r="EF39">
        <v>4</v>
      </c>
      <c r="EG39">
        <v>3</v>
      </c>
      <c r="EH39">
        <v>0</v>
      </c>
      <c r="EI39">
        <v>4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3</v>
      </c>
      <c r="EP39">
        <v>19</v>
      </c>
      <c r="EQ39">
        <v>3</v>
      </c>
      <c r="ER39">
        <v>7</v>
      </c>
      <c r="ES39">
        <v>4</v>
      </c>
      <c r="ET39">
        <v>0</v>
      </c>
      <c r="EU39">
        <v>2</v>
      </c>
      <c r="EV39">
        <v>2</v>
      </c>
      <c r="EW39">
        <v>0</v>
      </c>
      <c r="EX39">
        <v>2</v>
      </c>
      <c r="EY39">
        <v>1</v>
      </c>
      <c r="EZ39">
        <v>3</v>
      </c>
      <c r="FA39">
        <v>1</v>
      </c>
      <c r="FB39">
        <v>0</v>
      </c>
      <c r="FC39">
        <v>0</v>
      </c>
      <c r="FD39">
        <v>0</v>
      </c>
      <c r="FE39">
        <v>3</v>
      </c>
      <c r="FF39">
        <v>53</v>
      </c>
      <c r="FG39">
        <v>16</v>
      </c>
      <c r="FH39">
        <v>0</v>
      </c>
      <c r="FI39">
        <v>13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3</v>
      </c>
      <c r="GA39">
        <v>0</v>
      </c>
      <c r="GB39">
        <v>5</v>
      </c>
      <c r="GC39">
        <v>1</v>
      </c>
      <c r="GD39">
        <v>0</v>
      </c>
      <c r="GE39">
        <v>0</v>
      </c>
      <c r="GF39">
        <v>0</v>
      </c>
      <c r="GG39">
        <v>3</v>
      </c>
      <c r="GH39">
        <v>0</v>
      </c>
      <c r="GI39">
        <v>0</v>
      </c>
      <c r="GJ39">
        <v>0</v>
      </c>
      <c r="GK39">
        <v>2</v>
      </c>
      <c r="GL39">
        <v>1</v>
      </c>
    </row>
    <row r="40" spans="1:194" x14ac:dyDescent="0.2">
      <c r="A40" t="s">
        <v>34</v>
      </c>
      <c r="B40" s="22"/>
      <c r="C40" s="22"/>
      <c r="D40" s="22"/>
      <c r="E40" s="26"/>
      <c r="F40" s="26"/>
      <c r="G40" s="26"/>
      <c r="H40" s="5">
        <f t="shared" si="0"/>
        <v>1.019607843137255E-4</v>
      </c>
      <c r="I40" s="5">
        <f t="shared" si="1"/>
        <v>0</v>
      </c>
      <c r="J40" s="5">
        <f t="shared" si="2"/>
        <v>4.7101449275362317E-5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6</v>
      </c>
      <c r="BZ40">
        <v>20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</row>
    <row r="41" spans="1:194" x14ac:dyDescent="0.2">
      <c r="A41" t="s">
        <v>21</v>
      </c>
      <c r="B41" s="22"/>
      <c r="C41" s="22"/>
      <c r="D41" s="22"/>
      <c r="E41" s="27">
        <f>H41</f>
        <v>5.529411764705883E-4</v>
      </c>
      <c r="F41" s="27">
        <f>I41</f>
        <v>7.441077441077441E-4</v>
      </c>
      <c r="G41" s="27">
        <f>J41</f>
        <v>6.5579710144927537E-4</v>
      </c>
      <c r="H41" s="5">
        <f t="shared" si="0"/>
        <v>5.529411764705883E-4</v>
      </c>
      <c r="I41" s="5">
        <f t="shared" si="1"/>
        <v>7.441077441077441E-4</v>
      </c>
      <c r="J41" s="5">
        <f t="shared" si="2"/>
        <v>6.5579710144927537E-4</v>
      </c>
      <c r="K41">
        <v>10</v>
      </c>
      <c r="L41">
        <v>0</v>
      </c>
      <c r="M41">
        <v>3</v>
      </c>
      <c r="N41">
        <v>0</v>
      </c>
      <c r="O41">
        <v>0</v>
      </c>
      <c r="P41">
        <v>0</v>
      </c>
      <c r="Q41">
        <v>8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6</v>
      </c>
      <c r="AI41">
        <v>0</v>
      </c>
      <c r="AJ41">
        <v>0</v>
      </c>
      <c r="AK41">
        <v>0</v>
      </c>
      <c r="AL41">
        <v>3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7</v>
      </c>
      <c r="BC41">
        <v>3</v>
      </c>
      <c r="BD41">
        <v>4</v>
      </c>
      <c r="BE41">
        <v>9</v>
      </c>
      <c r="BF41">
        <v>0</v>
      </c>
      <c r="BG41">
        <v>0</v>
      </c>
      <c r="BH41">
        <v>12</v>
      </c>
      <c r="BI41">
        <v>2</v>
      </c>
      <c r="BJ41">
        <v>0</v>
      </c>
      <c r="BK41">
        <v>0</v>
      </c>
      <c r="BL41">
        <v>1</v>
      </c>
      <c r="BM41">
        <v>3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16</v>
      </c>
      <c r="BW41">
        <v>4</v>
      </c>
      <c r="BX41">
        <v>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3</v>
      </c>
      <c r="CE41">
        <v>2</v>
      </c>
      <c r="CF41">
        <v>0</v>
      </c>
      <c r="CG41">
        <v>0</v>
      </c>
      <c r="CH41">
        <v>6</v>
      </c>
      <c r="CI41">
        <v>0</v>
      </c>
      <c r="CJ41">
        <v>0</v>
      </c>
      <c r="CK41">
        <v>3</v>
      </c>
      <c r="CL41">
        <v>0</v>
      </c>
      <c r="CM41">
        <v>6</v>
      </c>
      <c r="CN41">
        <v>4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4</v>
      </c>
      <c r="CV41">
        <v>1</v>
      </c>
      <c r="CW41">
        <v>0</v>
      </c>
      <c r="CX41">
        <v>0</v>
      </c>
      <c r="CY41">
        <v>0</v>
      </c>
      <c r="CZ41">
        <v>3</v>
      </c>
      <c r="DA41">
        <v>0</v>
      </c>
      <c r="DB41">
        <v>0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10</v>
      </c>
      <c r="DK41">
        <v>5</v>
      </c>
      <c r="DL41">
        <v>21</v>
      </c>
      <c r="DM41">
        <v>3</v>
      </c>
      <c r="DN41">
        <v>0</v>
      </c>
      <c r="DO41">
        <v>0</v>
      </c>
      <c r="DP41">
        <v>7</v>
      </c>
      <c r="DQ41">
        <v>39</v>
      </c>
      <c r="DR41">
        <v>4</v>
      </c>
      <c r="DS41">
        <v>2</v>
      </c>
      <c r="DT41">
        <v>10</v>
      </c>
      <c r="DU41">
        <v>31</v>
      </c>
      <c r="DV41">
        <v>3</v>
      </c>
      <c r="DW41">
        <v>3</v>
      </c>
      <c r="DX41">
        <v>4</v>
      </c>
      <c r="DY41">
        <v>2</v>
      </c>
      <c r="DZ41">
        <v>0</v>
      </c>
      <c r="EA41">
        <v>5</v>
      </c>
      <c r="EB41">
        <v>7</v>
      </c>
      <c r="EC41">
        <v>1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2</v>
      </c>
      <c r="EZ41">
        <v>1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2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2</v>
      </c>
      <c r="FN41">
        <v>0</v>
      </c>
      <c r="FO41">
        <v>5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3</v>
      </c>
      <c r="FZ41">
        <v>13</v>
      </c>
      <c r="GA41">
        <v>7</v>
      </c>
      <c r="GB41">
        <v>0</v>
      </c>
      <c r="GC41">
        <v>1</v>
      </c>
      <c r="GD41">
        <v>5</v>
      </c>
      <c r="GE41">
        <v>2</v>
      </c>
      <c r="GF41">
        <v>0</v>
      </c>
      <c r="GG41">
        <v>7</v>
      </c>
      <c r="GH41">
        <v>0</v>
      </c>
      <c r="GI41">
        <v>0</v>
      </c>
      <c r="GJ41">
        <v>0</v>
      </c>
      <c r="GK41">
        <v>0</v>
      </c>
      <c r="GL41">
        <v>0</v>
      </c>
    </row>
    <row r="42" spans="1:194" x14ac:dyDescent="0.2">
      <c r="A42" t="s">
        <v>31</v>
      </c>
      <c r="B42" s="4">
        <f t="shared" ref="B42:D42" si="5">H42</f>
        <v>4.3921568627450978E-4</v>
      </c>
      <c r="C42" s="4">
        <f t="shared" si="5"/>
        <v>6.4983164983164977E-4</v>
      </c>
      <c r="D42" s="4">
        <f t="shared" si="5"/>
        <v>5.5253623188405792E-4</v>
      </c>
      <c r="E42" s="27">
        <f>H42</f>
        <v>4.3921568627450978E-4</v>
      </c>
      <c r="F42" s="27">
        <f>I42</f>
        <v>6.4983164983164977E-4</v>
      </c>
      <c r="G42" s="27">
        <f>J42</f>
        <v>5.5253623188405792E-4</v>
      </c>
      <c r="H42" s="5">
        <f t="shared" si="0"/>
        <v>4.3921568627450978E-4</v>
      </c>
      <c r="I42" s="5">
        <f t="shared" si="1"/>
        <v>6.4983164983164977E-4</v>
      </c>
      <c r="J42" s="5">
        <f t="shared" si="2"/>
        <v>5.5253623188405792E-4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2</v>
      </c>
      <c r="AG42">
        <v>0</v>
      </c>
      <c r="AH42">
        <v>12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3</v>
      </c>
      <c r="AO42">
        <v>0</v>
      </c>
      <c r="AP42">
        <v>0</v>
      </c>
      <c r="AQ42">
        <v>3</v>
      </c>
      <c r="AR42">
        <v>1</v>
      </c>
      <c r="AS42">
        <v>0</v>
      </c>
      <c r="AT42">
        <v>4</v>
      </c>
      <c r="AU42">
        <v>4</v>
      </c>
      <c r="AV42">
        <v>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</v>
      </c>
      <c r="BC42">
        <v>11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18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17</v>
      </c>
      <c r="BV42">
        <v>0</v>
      </c>
      <c r="BW42">
        <v>1</v>
      </c>
      <c r="BX42">
        <v>0</v>
      </c>
      <c r="BY42">
        <v>0</v>
      </c>
      <c r="BZ42">
        <v>3</v>
      </c>
      <c r="CA42">
        <v>0</v>
      </c>
      <c r="CB42">
        <v>6</v>
      </c>
      <c r="CC42">
        <v>2</v>
      </c>
      <c r="CD42">
        <v>0</v>
      </c>
      <c r="CE42">
        <v>0</v>
      </c>
      <c r="CF42">
        <v>0</v>
      </c>
      <c r="CG42">
        <v>0</v>
      </c>
      <c r="CH42">
        <v>3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2</v>
      </c>
      <c r="CW42">
        <v>0</v>
      </c>
      <c r="CX42">
        <v>21</v>
      </c>
      <c r="CY42">
        <v>4</v>
      </c>
      <c r="CZ42">
        <v>0</v>
      </c>
      <c r="DA42">
        <v>15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2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2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2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20</v>
      </c>
      <c r="GH42">
        <v>107</v>
      </c>
      <c r="GI42">
        <v>0</v>
      </c>
      <c r="GJ42">
        <v>0</v>
      </c>
      <c r="GK42">
        <v>0</v>
      </c>
      <c r="GL42">
        <v>0</v>
      </c>
    </row>
  </sheetData>
  <mergeCells count="47">
    <mergeCell ref="G32:G33"/>
    <mergeCell ref="G35:G36"/>
    <mergeCell ref="G39:G40"/>
    <mergeCell ref="G10:G11"/>
    <mergeCell ref="G19:G20"/>
    <mergeCell ref="G22:G24"/>
    <mergeCell ref="G25:G28"/>
    <mergeCell ref="G29:G30"/>
    <mergeCell ref="E32:E33"/>
    <mergeCell ref="E35:E36"/>
    <mergeCell ref="E39:E40"/>
    <mergeCell ref="F10:F11"/>
    <mergeCell ref="F19:F20"/>
    <mergeCell ref="F22:F24"/>
    <mergeCell ref="F25:F28"/>
    <mergeCell ref="F29:F30"/>
    <mergeCell ref="F32:F33"/>
    <mergeCell ref="F35:F36"/>
    <mergeCell ref="F39:F40"/>
    <mergeCell ref="B39:B41"/>
    <mergeCell ref="C39:C41"/>
    <mergeCell ref="D39:D41"/>
    <mergeCell ref="B2:D2"/>
    <mergeCell ref="H2:J2"/>
    <mergeCell ref="E2:G2"/>
    <mergeCell ref="E3:F3"/>
    <mergeCell ref="G3:G4"/>
    <mergeCell ref="E5:E8"/>
    <mergeCell ref="F5:F8"/>
    <mergeCell ref="G5:G8"/>
    <mergeCell ref="E10:E11"/>
    <mergeCell ref="E19:E20"/>
    <mergeCell ref="E22:E24"/>
    <mergeCell ref="E25:E28"/>
    <mergeCell ref="E29:E30"/>
    <mergeCell ref="B5:B9"/>
    <mergeCell ref="C5:C9"/>
    <mergeCell ref="D5:D9"/>
    <mergeCell ref="B10:B37"/>
    <mergeCell ref="C10:C37"/>
    <mergeCell ref="D10:D37"/>
    <mergeCell ref="A1:M1"/>
    <mergeCell ref="H3:I3"/>
    <mergeCell ref="K3:GL3"/>
    <mergeCell ref="J3:J4"/>
    <mergeCell ref="B3:C3"/>
    <mergeCell ref="D3:D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Leducq</dc:creator>
  <cp:lastModifiedBy>Jean-Baptiste Leducq</cp:lastModifiedBy>
  <dcterms:created xsi:type="dcterms:W3CDTF">2025-08-05T17:02:54Z</dcterms:created>
  <dcterms:modified xsi:type="dcterms:W3CDTF">2025-08-06T15:10:53Z</dcterms:modified>
</cp:coreProperties>
</file>