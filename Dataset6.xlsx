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ean-baptiste/Dropbox/Lichenibacterium/For-Submission-to-SAM/"/>
    </mc:Choice>
  </mc:AlternateContent>
  <xr:revisionPtr revIDLastSave="0" documentId="13_ncr:1_{8EAB7AE0-531F-0545-873B-8B0068814F04}" xr6:coauthVersionLast="47" xr6:coauthVersionMax="47" xr10:uidLastSave="{00000000-0000-0000-0000-000000000000}"/>
  <bookViews>
    <workbookView xWindow="34000" yWindow="2260" windowWidth="25680" windowHeight="15820" tabRatio="500" xr2:uid="{00000000-000D-0000-FFFF-FFFF00000000}"/>
  </bookViews>
  <sheets>
    <sheet name="Dataset4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J20" i="2" l="1"/>
  <c r="AJ14" i="2"/>
  <c r="AI20" i="2"/>
  <c r="AJ15" i="2"/>
  <c r="AI14" i="2"/>
  <c r="AF37" i="2"/>
  <c r="AF27" i="2"/>
  <c r="AF28" i="2"/>
  <c r="AF38" i="2"/>
  <c r="AJ21" i="2"/>
  <c r="AI22" i="2"/>
  <c r="AJ22" i="2" s="1"/>
  <c r="AI21" i="2"/>
  <c r="AI15" i="2"/>
  <c r="AF15" i="2"/>
  <c r="AF31" i="2"/>
  <c r="AE35" i="2"/>
  <c r="AF14" i="2"/>
  <c r="AF21" i="2"/>
  <c r="AF25" i="2"/>
  <c r="AF26" i="2"/>
  <c r="AF42" i="2"/>
  <c r="AE26" i="2"/>
  <c r="AE14" i="2"/>
  <c r="AE15" i="2"/>
  <c r="AE17" i="2"/>
  <c r="AE18" i="2"/>
  <c r="AE19" i="2"/>
  <c r="AE45" i="2" s="1"/>
  <c r="AE46" i="2" s="1"/>
  <c r="AE22" i="2"/>
  <c r="AE25" i="2"/>
  <c r="AE28" i="2"/>
  <c r="AE29" i="2"/>
  <c r="AE31" i="2"/>
  <c r="AE32" i="2"/>
  <c r="AE33" i="2"/>
  <c r="AE34" i="2"/>
  <c r="AE40" i="2"/>
  <c r="AE42" i="2"/>
  <c r="A11" i="2"/>
  <c r="AF45" i="2" l="1"/>
  <c r="AF46" i="2" s="1"/>
  <c r="AI23" i="2"/>
  <c r="AJ23" i="2" s="1"/>
</calcChain>
</file>

<file path=xl/sharedStrings.xml><?xml version="1.0" encoding="utf-8"?>
<sst xmlns="http://schemas.openxmlformats.org/spreadsheetml/2006/main" count="114" uniqueCount="70">
  <si>
    <t>Family</t>
  </si>
  <si>
    <t>Alsobaceraceae</t>
  </si>
  <si>
    <t>Alsobacter</t>
  </si>
  <si>
    <t>Boseaceae</t>
  </si>
  <si>
    <t>Bosea</t>
  </si>
  <si>
    <t>Beijerinckiaceae</t>
  </si>
  <si>
    <t>Methylobacteriaceae</t>
  </si>
  <si>
    <t>Hohaiivirga</t>
  </si>
  <si>
    <t>NA</t>
  </si>
  <si>
    <t>Microvirga</t>
  </si>
  <si>
    <t>Salinarimonas</t>
  </si>
  <si>
    <t>Enterovirga</t>
  </si>
  <si>
    <t>Methylobacterium</t>
  </si>
  <si>
    <t>Chelatococcaceae</t>
  </si>
  <si>
    <t>Pseudochelatococcus</t>
  </si>
  <si>
    <t>Chelatococcus</t>
  </si>
  <si>
    <t>Camelimonas</t>
  </si>
  <si>
    <t>Roseiarcaceae</t>
  </si>
  <si>
    <t>Roseiarcus</t>
  </si>
  <si>
    <t>Rhodoblastaceae</t>
  </si>
  <si>
    <t>Rhodoblastus</t>
  </si>
  <si>
    <t>Related to Methylocystaceae</t>
  </si>
  <si>
    <t>JAJXWB01</t>
  </si>
  <si>
    <t>Methylocystis</t>
  </si>
  <si>
    <t>Methylocystaceae</t>
  </si>
  <si>
    <t>Methylosinus</t>
  </si>
  <si>
    <t>Methylovirgula</t>
  </si>
  <si>
    <t>Methyloferula</t>
  </si>
  <si>
    <t>Beijerinckia</t>
  </si>
  <si>
    <t>Methylocella</t>
  </si>
  <si>
    <t>Methylocapsa</t>
  </si>
  <si>
    <t>Related to Beijerinckiaceae</t>
  </si>
  <si>
    <t>RH_AL1</t>
  </si>
  <si>
    <t>Lichenihabitantaceae</t>
  </si>
  <si>
    <t>Lichenifustis</t>
  </si>
  <si>
    <t>Lichenibacterium</t>
  </si>
  <si>
    <t>Lichenihabitans</t>
  </si>
  <si>
    <t>Rhabdaerophilaceae</t>
  </si>
  <si>
    <t>Rhabdaerophilum</t>
  </si>
  <si>
    <t>Phreatobacter</t>
  </si>
  <si>
    <t>Psychroglaciecola</t>
  </si>
  <si>
    <t>Methylorosula</t>
  </si>
  <si>
    <t>Neo-b11</t>
  </si>
  <si>
    <t>alphaI cluster</t>
  </si>
  <si>
    <r>
      <t>Hyphomicrobiales</t>
    </r>
    <r>
      <rPr>
        <i/>
        <sz val="12"/>
        <color rgb="FF000000"/>
        <rFont val="Arial"/>
        <family val="2"/>
      </rPr>
      <t xml:space="preserve"> Incertae Sedis</t>
    </r>
  </si>
  <si>
    <t>Genus</t>
  </si>
  <si>
    <t>Color legend</t>
  </si>
  <si>
    <t>Sequences from reference genomes correctly classified by SILVA</t>
  </si>
  <si>
    <t>Sequences from reference genomes uncorrectly classified by SILVA</t>
  </si>
  <si>
    <t>Methylorubrum</t>
  </si>
  <si>
    <t>CLASSIFICATION WITH SILVA 138.2</t>
  </si>
  <si>
    <t>Absent from SILVA 138.2 (mostly new taxa)</t>
  </si>
  <si>
    <t>Absent from reference genomes (so available sequence or wrong taxon)</t>
  </si>
  <si>
    <t>ASV classified in the same genera</t>
  </si>
  <si>
    <t>-</t>
  </si>
  <si>
    <t>ASV classified in the same family (bold boxes)</t>
  </si>
  <si>
    <t>SILVA</t>
  </si>
  <si>
    <t>REF genomes</t>
  </si>
  <si>
    <t>Genus was infered</t>
  </si>
  <si>
    <t>*Excluding NAs within Beijerinckiaceae family, Neo-b11 and alpha cluster for SILVA</t>
  </si>
  <si>
    <t>Familly was infered (or at least can be deduced from the genus)*</t>
  </si>
  <si>
    <t>FOR TAXA</t>
  </si>
  <si>
    <t>FOR COMPARISONS</t>
  </si>
  <si>
    <r>
      <t xml:space="preserve">New proposed familly placement for </t>
    </r>
    <r>
      <rPr>
        <i/>
        <sz val="12"/>
        <color rgb="FF000000"/>
        <rFont val="Arial"/>
        <family val="2"/>
      </rPr>
      <t>Salinarimonas</t>
    </r>
  </si>
  <si>
    <t>Familly identified with reference genomes but not with SILVA</t>
  </si>
  <si>
    <t>Fammily identified with SILVA but not with reference genomes</t>
  </si>
  <si>
    <t>Different familly</t>
  </si>
  <si>
    <t>NEITHER</t>
  </si>
  <si>
    <t>CLASSIFICATION WITH 16S rRNA SEQUENCES FROM REFERENCE GENOMES</t>
  </si>
  <si>
    <t>combining  files Comparison-taxo-SILVA-refined.txt (comparision of two methods for taxonomy prediction of 3,089 phyllosphere-associated Hyphomicrobiales ASVs) and SEQ16s_genomics_classif-by_SILVA.txt (16S rRNA sequence extracted from reference genomes with known taxonomy were classified with SILVA 138.2)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</si>
</sst>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i/>
      <sz val="12"/>
      <color rgb="FF000000"/>
      <name val="Arial"/>
      <family val="2"/>
    </font>
    <font>
      <b/>
      <sz val="12"/>
      <color theme="1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20"/>
      <color rgb="FFFF0000"/>
      <name val="Arial"/>
      <family val="2"/>
    </font>
    <font>
      <sz val="12"/>
      <color theme="0"/>
      <name val="Arial"/>
      <family val="2"/>
    </font>
    <font>
      <b/>
      <sz val="14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27DD1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Dashed">
        <color auto="1"/>
      </left>
      <right/>
      <top style="mediumDashed">
        <color auto="1"/>
      </top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/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</borders>
  <cellStyleXfs count="140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80">
    <xf numFmtId="0" fontId="0" fillId="0" borderId="0" xfId="0"/>
    <xf numFmtId="0" fontId="3" fillId="7" borderId="0" xfId="0" applyFont="1" applyFill="1"/>
    <xf numFmtId="0" fontId="3" fillId="6" borderId="0" xfId="0" applyFont="1" applyFill="1"/>
    <xf numFmtId="0" fontId="3" fillId="0" borderId="0" xfId="0" applyFont="1"/>
    <xf numFmtId="0" fontId="2" fillId="0" borderId="10" xfId="0" applyFont="1" applyBorder="1" applyAlignment="1">
      <alignment horizontal="left" vertical="center"/>
    </xf>
    <xf numFmtId="0" fontId="2" fillId="0" borderId="8" xfId="0" applyFont="1" applyBorder="1" applyAlignment="1">
      <alignment vertical="center"/>
    </xf>
    <xf numFmtId="0" fontId="4" fillId="0" borderId="8" xfId="0" applyFont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3" fillId="0" borderId="12" xfId="0" applyFont="1" applyBorder="1"/>
    <xf numFmtId="0" fontId="3" fillId="6" borderId="13" xfId="0" applyFont="1" applyFill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3" xfId="0" applyFont="1" applyBorder="1"/>
    <xf numFmtId="0" fontId="3" fillId="6" borderId="15" xfId="0" applyFont="1" applyFill="1" applyBorder="1"/>
    <xf numFmtId="0" fontId="3" fillId="0" borderId="5" xfId="0" applyFont="1" applyBorder="1"/>
    <xf numFmtId="0" fontId="3" fillId="0" borderId="4" xfId="0" applyFont="1" applyBorder="1"/>
    <xf numFmtId="0" fontId="3" fillId="0" borderId="2" xfId="0" applyFont="1" applyBorder="1"/>
    <xf numFmtId="0" fontId="3" fillId="6" borderId="12" xfId="0" applyFont="1" applyFill="1" applyBorder="1"/>
    <xf numFmtId="0" fontId="3" fillId="6" borderId="3" xfId="0" applyFont="1" applyFill="1" applyBorder="1"/>
    <xf numFmtId="0" fontId="5" fillId="0" borderId="9" xfId="0" applyFont="1" applyBorder="1" applyAlignment="1">
      <alignment vertical="center"/>
    </xf>
    <xf numFmtId="0" fontId="5" fillId="0" borderId="16" xfId="0" applyFont="1" applyBorder="1" applyAlignment="1">
      <alignment vertical="center" textRotation="90"/>
    </xf>
    <xf numFmtId="0" fontId="3" fillId="6" borderId="11" xfId="0" applyFont="1" applyFill="1" applyBorder="1"/>
    <xf numFmtId="0" fontId="3" fillId="7" borderId="15" xfId="0" applyFont="1" applyFill="1" applyBorder="1"/>
    <xf numFmtId="0" fontId="3" fillId="7" borderId="6" xfId="0" applyFont="1" applyFill="1" applyBorder="1"/>
    <xf numFmtId="0" fontId="3" fillId="7" borderId="7" xfId="0" applyFont="1" applyFill="1" applyBorder="1"/>
    <xf numFmtId="0" fontId="3" fillId="6" borderId="7" xfId="0" applyFont="1" applyFill="1" applyBorder="1"/>
    <xf numFmtId="0" fontId="3" fillId="0" borderId="1" xfId="0" applyFont="1" applyBorder="1"/>
    <xf numFmtId="0" fontId="5" fillId="5" borderId="9" xfId="0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0" fontId="5" fillId="4" borderId="9" xfId="0" applyFont="1" applyFill="1" applyBorder="1" applyAlignment="1">
      <alignment vertical="center"/>
    </xf>
    <xf numFmtId="0" fontId="5" fillId="8" borderId="16" xfId="0" applyFont="1" applyFill="1" applyBorder="1" applyAlignment="1">
      <alignment vertical="center" textRotation="90"/>
    </xf>
    <xf numFmtId="0" fontId="5" fillId="3" borderId="16" xfId="0" applyFont="1" applyFill="1" applyBorder="1" applyAlignment="1">
      <alignment vertical="center" textRotation="90"/>
    </xf>
    <xf numFmtId="0" fontId="5" fillId="4" borderId="16" xfId="0" applyFont="1" applyFill="1" applyBorder="1" applyAlignment="1">
      <alignment vertical="center" textRotation="90"/>
    </xf>
    <xf numFmtId="0" fontId="3" fillId="6" borderId="17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vertical="center" textRotation="90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0" fontId="3" fillId="0" borderId="0" xfId="1" applyNumberFormat="1" applyFont="1" applyBorder="1"/>
    <xf numFmtId="10" fontId="3" fillId="0" borderId="0" xfId="1" applyNumberFormat="1" applyFont="1" applyBorder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2" xfId="0" applyFont="1" applyBorder="1"/>
    <xf numFmtId="0" fontId="3" fillId="0" borderId="23" xfId="0" applyFont="1" applyBorder="1"/>
    <xf numFmtId="0" fontId="3" fillId="7" borderId="23" xfId="0" applyFont="1" applyFill="1" applyBorder="1"/>
    <xf numFmtId="0" fontId="3" fillId="0" borderId="24" xfId="0" applyFont="1" applyBorder="1"/>
    <xf numFmtId="0" fontId="3" fillId="7" borderId="22" xfId="0" applyFont="1" applyFill="1" applyBorder="1"/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10" borderId="0" xfId="0" applyFont="1" applyFill="1"/>
    <xf numFmtId="0" fontId="3" fillId="10" borderId="18" xfId="0" applyFont="1" applyFill="1" applyBorder="1"/>
    <xf numFmtId="0" fontId="3" fillId="11" borderId="0" xfId="0" applyFont="1" applyFill="1"/>
    <xf numFmtId="0" fontId="3" fillId="11" borderId="20" xfId="0" applyFont="1" applyFill="1" applyBorder="1"/>
    <xf numFmtId="0" fontId="3" fillId="11" borderId="21" xfId="0" applyFont="1" applyFill="1" applyBorder="1"/>
    <xf numFmtId="0" fontId="10" fillId="12" borderId="21" xfId="0" applyFont="1" applyFill="1" applyBorder="1"/>
    <xf numFmtId="0" fontId="10" fillId="12" borderId="0" xfId="0" applyFont="1" applyFill="1"/>
    <xf numFmtId="0" fontId="3" fillId="0" borderId="25" xfId="0" applyFont="1" applyBorder="1" applyAlignment="1">
      <alignment horizontal="center" vertical="center"/>
    </xf>
    <xf numFmtId="0" fontId="3" fillId="13" borderId="0" xfId="0" applyFont="1" applyFill="1"/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textRotation="90" wrapText="1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 vertical="center" textRotation="90"/>
    </xf>
    <xf numFmtId="0" fontId="9" fillId="9" borderId="0" xfId="0" applyFont="1" applyFill="1" applyAlignment="1">
      <alignment horizontal="center" vertical="center" wrapText="1"/>
    </xf>
    <xf numFmtId="0" fontId="4" fillId="0" borderId="8" xfId="0" applyFont="1" applyBorder="1" applyAlignment="1">
      <alignment horizontal="left" vertical="center"/>
    </xf>
    <xf numFmtId="0" fontId="11" fillId="2" borderId="0" xfId="0" applyFont="1" applyFill="1" applyAlignment="1">
      <alignment horizontal="center" vertical="center" wrapText="1"/>
    </xf>
  </cellXfs>
  <cellStyles count="140">
    <cellStyle name="Lien hypertexte" xfId="2" builtinId="8" hidden="1"/>
    <cellStyle name="Lien hypertexte" xfId="4" builtinId="8" hidden="1"/>
    <cellStyle name="Lien hypertexte" xfId="6" builtinId="8" hidden="1"/>
    <cellStyle name="Lien hypertexte" xfId="8" builtinId="8" hidden="1"/>
    <cellStyle name="Lien hypertexte" xfId="10" builtinId="8" hidden="1"/>
    <cellStyle name="Lien hypertexte" xfId="12" builtinId="8" hidden="1"/>
    <cellStyle name="Lien hypertexte" xfId="14" builtinId="8" hidden="1"/>
    <cellStyle name="Lien hypertexte" xfId="16" builtinId="8" hidden="1"/>
    <cellStyle name="Lien hypertexte" xfId="18" builtinId="8" hidden="1"/>
    <cellStyle name="Lien hypertexte" xfId="20" builtinId="8" hidden="1"/>
    <cellStyle name="Lien hypertexte" xfId="22" builtinId="8" hidden="1"/>
    <cellStyle name="Lien hypertexte" xfId="24" builtinId="8" hidden="1"/>
    <cellStyle name="Lien hypertexte" xfId="26" builtinId="8" hidden="1"/>
    <cellStyle name="Lien hypertexte" xfId="28" builtinId="8" hidden="1"/>
    <cellStyle name="Lien hypertexte" xfId="30" builtinId="8" hidden="1"/>
    <cellStyle name="Lien hypertexte" xfId="32" builtinId="8" hidden="1"/>
    <cellStyle name="Lien hypertexte" xfId="34" builtinId="8" hidden="1"/>
    <cellStyle name="Lien hypertexte" xfId="36" builtinId="8" hidden="1"/>
    <cellStyle name="Lien hypertexte" xfId="38" builtinId="8" hidden="1"/>
    <cellStyle name="Lien hypertexte" xfId="40" builtinId="8" hidden="1"/>
    <cellStyle name="Lien hypertexte" xfId="42" builtinId="8" hidden="1"/>
    <cellStyle name="Lien hypertexte" xfId="44" builtinId="8" hidden="1"/>
    <cellStyle name="Lien hypertexte" xfId="46" builtinId="8" hidden="1"/>
    <cellStyle name="Lien hypertexte" xfId="48" builtinId="8" hidden="1"/>
    <cellStyle name="Lien hypertexte" xfId="50" builtinId="8" hidden="1"/>
    <cellStyle name="Lien hypertexte" xfId="52" builtinId="8" hidden="1"/>
    <cellStyle name="Lien hypertexte" xfId="54" builtinId="8" hidden="1"/>
    <cellStyle name="Lien hypertexte" xfId="56" builtinId="8" hidden="1"/>
    <cellStyle name="Lien hypertexte" xfId="58" builtinId="8" hidden="1"/>
    <cellStyle name="Lien hypertexte" xfId="60" builtinId="8" hidden="1"/>
    <cellStyle name="Lien hypertexte" xfId="62" builtinId="8" hidden="1"/>
    <cellStyle name="Lien hypertexte" xfId="64" builtinId="8" hidden="1"/>
    <cellStyle name="Lien hypertexte" xfId="66" builtinId="8" hidden="1"/>
    <cellStyle name="Lien hypertexte" xfId="68" builtinId="8" hidden="1"/>
    <cellStyle name="Lien hypertexte" xfId="70" builtinId="8" hidden="1"/>
    <cellStyle name="Lien hypertexte" xfId="72" builtinId="8" hidden="1"/>
    <cellStyle name="Lien hypertexte" xfId="74" builtinId="8" hidden="1"/>
    <cellStyle name="Lien hypertexte" xfId="76" builtinId="8" hidden="1"/>
    <cellStyle name="Lien hypertexte" xfId="78" builtinId="8" hidden="1"/>
    <cellStyle name="Lien hypertexte" xfId="80" builtinId="8" hidden="1"/>
    <cellStyle name="Lien hypertexte" xfId="82" builtinId="8" hidden="1"/>
    <cellStyle name="Lien hypertexte" xfId="84" builtinId="8" hidden="1"/>
    <cellStyle name="Lien hypertexte" xfId="86" builtinId="8" hidden="1"/>
    <cellStyle name="Lien hypertexte" xfId="88" builtinId="8" hidden="1"/>
    <cellStyle name="Lien hypertexte" xfId="90" builtinId="8" hidden="1"/>
    <cellStyle name="Lien hypertexte" xfId="92" builtinId="8" hidden="1"/>
    <cellStyle name="Lien hypertexte" xfId="94" builtinId="8" hidden="1"/>
    <cellStyle name="Lien hypertexte" xfId="96" builtinId="8" hidden="1"/>
    <cellStyle name="Lien hypertexte" xfId="98" builtinId="8" hidden="1"/>
    <cellStyle name="Lien hypertexte" xfId="100" builtinId="8" hidden="1"/>
    <cellStyle name="Lien hypertexte" xfId="102" builtinId="8" hidden="1"/>
    <cellStyle name="Lien hypertexte" xfId="104" builtinId="8" hidden="1"/>
    <cellStyle name="Lien hypertexte" xfId="106" builtinId="8" hidden="1"/>
    <cellStyle name="Lien hypertexte" xfId="108" builtinId="8" hidden="1"/>
    <cellStyle name="Lien hypertexte" xfId="110" builtinId="8" hidden="1"/>
    <cellStyle name="Lien hypertexte" xfId="112" builtinId="8" hidden="1"/>
    <cellStyle name="Lien hypertexte" xfId="114" builtinId="8" hidden="1"/>
    <cellStyle name="Lien hypertexte" xfId="116" builtinId="8" hidden="1"/>
    <cellStyle name="Lien hypertexte" xfId="118" builtinId="8" hidden="1"/>
    <cellStyle name="Lien hypertexte" xfId="120" builtinId="8" hidden="1"/>
    <cellStyle name="Lien hypertexte" xfId="122" builtinId="8" hidden="1"/>
    <cellStyle name="Lien hypertexte" xfId="124" builtinId="8" hidden="1"/>
    <cellStyle name="Lien hypertexte" xfId="126" builtinId="8" hidden="1"/>
    <cellStyle name="Lien hypertexte" xfId="128" builtinId="8" hidden="1"/>
    <cellStyle name="Lien hypertexte" xfId="130" builtinId="8" hidden="1"/>
    <cellStyle name="Lien hypertexte" xfId="132" builtinId="8" hidden="1"/>
    <cellStyle name="Lien hypertexte" xfId="134" builtinId="8" hidden="1"/>
    <cellStyle name="Lien hypertexte" xfId="136" builtinId="8" hidden="1"/>
    <cellStyle name="Lien hypertexte" xfId="138" builtinId="8" hidden="1"/>
    <cellStyle name="Lien hypertexte visité" xfId="3" builtinId="9" hidden="1"/>
    <cellStyle name="Lien hypertexte visité" xfId="5" builtinId="9" hidden="1"/>
    <cellStyle name="Lien hypertexte visité" xfId="7" builtinId="9" hidden="1"/>
    <cellStyle name="Lien hypertexte visité" xfId="9" builtinId="9" hidden="1"/>
    <cellStyle name="Lien hypertexte visité" xfId="11" builtinId="9" hidden="1"/>
    <cellStyle name="Lien hypertexte visité" xfId="13" builtinId="9" hidden="1"/>
    <cellStyle name="Lien hypertexte visité" xfId="15" builtinId="9" hidden="1"/>
    <cellStyle name="Lien hypertexte visité" xfId="17" builtinId="9" hidden="1"/>
    <cellStyle name="Lien hypertexte visité" xfId="19" builtinId="9" hidden="1"/>
    <cellStyle name="Lien hypertexte visité" xfId="21" builtinId="9" hidden="1"/>
    <cellStyle name="Lien hypertexte visité" xfId="23" builtinId="9" hidden="1"/>
    <cellStyle name="Lien hypertexte visité" xfId="25" builtinId="9" hidden="1"/>
    <cellStyle name="Lien hypertexte visité" xfId="27" builtinId="9" hidden="1"/>
    <cellStyle name="Lien hypertexte visité" xfId="29" builtinId="9" hidden="1"/>
    <cellStyle name="Lien hypertexte visité" xfId="31" builtinId="9" hidden="1"/>
    <cellStyle name="Lien hypertexte visité" xfId="33" builtinId="9" hidden="1"/>
    <cellStyle name="Lien hypertexte visité" xfId="35" builtinId="9" hidden="1"/>
    <cellStyle name="Lien hypertexte visité" xfId="37" builtinId="9" hidden="1"/>
    <cellStyle name="Lien hypertexte visité" xfId="39" builtinId="9" hidden="1"/>
    <cellStyle name="Lien hypertexte visité" xfId="41" builtinId="9" hidden="1"/>
    <cellStyle name="Lien hypertexte visité" xfId="43" builtinId="9" hidden="1"/>
    <cellStyle name="Lien hypertexte visité" xfId="45" builtinId="9" hidden="1"/>
    <cellStyle name="Lien hypertexte visité" xfId="47" builtinId="9" hidden="1"/>
    <cellStyle name="Lien hypertexte visité" xfId="49" builtinId="9" hidden="1"/>
    <cellStyle name="Lien hypertexte visité" xfId="51" builtinId="9" hidden="1"/>
    <cellStyle name="Lien hypertexte visité" xfId="53" builtinId="9" hidden="1"/>
    <cellStyle name="Lien hypertexte visité" xfId="55" builtinId="9" hidden="1"/>
    <cellStyle name="Lien hypertexte visité" xfId="57" builtinId="9" hidden="1"/>
    <cellStyle name="Lien hypertexte visité" xfId="59" builtinId="9" hidden="1"/>
    <cellStyle name="Lien hypertexte visité" xfId="61" builtinId="9" hidden="1"/>
    <cellStyle name="Lien hypertexte visité" xfId="63" builtinId="9" hidden="1"/>
    <cellStyle name="Lien hypertexte visité" xfId="65" builtinId="9" hidden="1"/>
    <cellStyle name="Lien hypertexte visité" xfId="67" builtinId="9" hidden="1"/>
    <cellStyle name="Lien hypertexte visité" xfId="69" builtinId="9" hidden="1"/>
    <cellStyle name="Lien hypertexte visité" xfId="71" builtinId="9" hidden="1"/>
    <cellStyle name="Lien hypertexte visité" xfId="73" builtinId="9" hidden="1"/>
    <cellStyle name="Lien hypertexte visité" xfId="75" builtinId="9" hidden="1"/>
    <cellStyle name="Lien hypertexte visité" xfId="77" builtinId="9" hidden="1"/>
    <cellStyle name="Lien hypertexte visité" xfId="79" builtinId="9" hidden="1"/>
    <cellStyle name="Lien hypertexte visité" xfId="81" builtinId="9" hidden="1"/>
    <cellStyle name="Lien hypertexte visité" xfId="83" builtinId="9" hidden="1"/>
    <cellStyle name="Lien hypertexte visité" xfId="85" builtinId="9" hidden="1"/>
    <cellStyle name="Lien hypertexte visité" xfId="87" builtinId="9" hidden="1"/>
    <cellStyle name="Lien hypertexte visité" xfId="89" builtinId="9" hidden="1"/>
    <cellStyle name="Lien hypertexte visité" xfId="91" builtinId="9" hidden="1"/>
    <cellStyle name="Lien hypertexte visité" xfId="93" builtinId="9" hidden="1"/>
    <cellStyle name="Lien hypertexte visité" xfId="95" builtinId="9" hidden="1"/>
    <cellStyle name="Lien hypertexte visité" xfId="97" builtinId="9" hidden="1"/>
    <cellStyle name="Lien hypertexte visité" xfId="99" builtinId="9" hidden="1"/>
    <cellStyle name="Lien hypertexte visité" xfId="101" builtinId="9" hidden="1"/>
    <cellStyle name="Lien hypertexte visité" xfId="103" builtinId="9" hidden="1"/>
    <cellStyle name="Lien hypertexte visité" xfId="105" builtinId="9" hidden="1"/>
    <cellStyle name="Lien hypertexte visité" xfId="107" builtinId="9" hidden="1"/>
    <cellStyle name="Lien hypertexte visité" xfId="109" builtinId="9" hidden="1"/>
    <cellStyle name="Lien hypertexte visité" xfId="111" builtinId="9" hidden="1"/>
    <cellStyle name="Lien hypertexte visité" xfId="113" builtinId="9" hidden="1"/>
    <cellStyle name="Lien hypertexte visité" xfId="115" builtinId="9" hidden="1"/>
    <cellStyle name="Lien hypertexte visité" xfId="117" builtinId="9" hidden="1"/>
    <cellStyle name="Lien hypertexte visité" xfId="119" builtinId="9" hidden="1"/>
    <cellStyle name="Lien hypertexte visité" xfId="121" builtinId="9" hidden="1"/>
    <cellStyle name="Lien hypertexte visité" xfId="123" builtinId="9" hidden="1"/>
    <cellStyle name="Lien hypertexte visité" xfId="125" builtinId="9" hidden="1"/>
    <cellStyle name="Lien hypertexte visité" xfId="127" builtinId="9" hidden="1"/>
    <cellStyle name="Lien hypertexte visité" xfId="129" builtinId="9" hidden="1"/>
    <cellStyle name="Lien hypertexte visité" xfId="131" builtinId="9" hidden="1"/>
    <cellStyle name="Lien hypertexte visité" xfId="133" builtinId="9" hidden="1"/>
    <cellStyle name="Lien hypertexte visité" xfId="135" builtinId="9" hidden="1"/>
    <cellStyle name="Lien hypertexte visité" xfId="137" builtinId="9" hidden="1"/>
    <cellStyle name="Lien hypertexte visité" xfId="139" builtinId="9" hidden="1"/>
    <cellStyle name="Normal" xfId="0" builtinId="0"/>
    <cellStyle name="Pourcentag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6"/>
  <sheetViews>
    <sheetView tabSelected="1" workbookViewId="0">
      <selection activeCell="AF13" sqref="AF13"/>
    </sheetView>
  </sheetViews>
  <sheetFormatPr baseColWidth="10" defaultRowHeight="16" x14ac:dyDescent="0.2"/>
  <cols>
    <col min="1" max="1" width="3.5" style="3" bestFit="1" customWidth="1"/>
    <col min="2" max="2" width="27" style="3" bestFit="1" customWidth="1"/>
    <col min="3" max="3" width="20.6640625" style="3" bestFit="1" customWidth="1"/>
    <col min="4" max="6" width="3.5" style="3" bestFit="1" customWidth="1"/>
    <col min="7" max="8" width="4.6640625" style="3" bestFit="1" customWidth="1"/>
    <col min="9" max="13" width="3.5" style="3" bestFit="1" customWidth="1"/>
    <col min="14" max="14" width="4.6640625" style="3" bestFit="1" customWidth="1"/>
    <col min="15" max="23" width="3.5" style="3" bestFit="1" customWidth="1"/>
    <col min="24" max="24" width="4.6640625" style="3" bestFit="1" customWidth="1"/>
    <col min="25" max="29" width="3.5" style="3" bestFit="1" customWidth="1"/>
    <col min="30" max="30" width="16.33203125" style="3" bestFit="1" customWidth="1"/>
    <col min="31" max="31" width="8.5" style="3" bestFit="1" customWidth="1"/>
    <col min="32" max="32" width="11" style="3" bestFit="1" customWidth="1"/>
    <col min="33" max="33" width="10.83203125" style="3"/>
    <col min="34" max="34" width="74.6640625" style="3" bestFit="1" customWidth="1"/>
    <col min="35" max="16384" width="10.83203125" style="3"/>
  </cols>
  <sheetData>
    <row r="1" spans="1:36" x14ac:dyDescent="0.2">
      <c r="B1" s="39" t="s">
        <v>46</v>
      </c>
      <c r="L1" s="79" t="s">
        <v>69</v>
      </c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</row>
    <row r="2" spans="1:36" x14ac:dyDescent="0.2">
      <c r="B2" s="39" t="s">
        <v>61</v>
      </c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</row>
    <row r="3" spans="1:36" x14ac:dyDescent="0.2">
      <c r="B3" s="68" t="s">
        <v>52</v>
      </c>
      <c r="C3" s="68"/>
      <c r="D3" s="68"/>
      <c r="E3" s="68"/>
      <c r="F3" s="68"/>
      <c r="G3" s="68"/>
      <c r="H3" s="68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</row>
    <row r="4" spans="1:36" x14ac:dyDescent="0.2">
      <c r="B4" s="69" t="s">
        <v>51</v>
      </c>
      <c r="C4" s="69"/>
      <c r="D4" s="69"/>
      <c r="E4" s="69"/>
      <c r="F4" s="69"/>
      <c r="G4" s="69"/>
      <c r="H4" s="6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</row>
    <row r="5" spans="1:36" x14ac:dyDescent="0.2">
      <c r="B5" s="70" t="s">
        <v>63</v>
      </c>
      <c r="C5" s="70"/>
      <c r="D5" s="70"/>
      <c r="E5" s="70"/>
      <c r="F5" s="70"/>
      <c r="G5" s="70"/>
      <c r="H5" s="70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</row>
    <row r="6" spans="1:36" x14ac:dyDescent="0.2">
      <c r="B6" s="55" t="s">
        <v>62</v>
      </c>
      <c r="C6" s="54"/>
      <c r="D6" s="54"/>
      <c r="E6" s="54"/>
      <c r="F6" s="54"/>
      <c r="G6" s="54"/>
      <c r="H6" s="54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</row>
    <row r="7" spans="1:36" x14ac:dyDescent="0.2">
      <c r="B7" s="71" t="s">
        <v>47</v>
      </c>
      <c r="C7" s="71"/>
      <c r="D7" s="71"/>
      <c r="E7" s="71"/>
      <c r="F7" s="71"/>
      <c r="G7" s="71"/>
      <c r="H7" s="71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</row>
    <row r="8" spans="1:36" x14ac:dyDescent="0.2">
      <c r="B8" s="72" t="s">
        <v>48</v>
      </c>
      <c r="C8" s="72"/>
      <c r="D8" s="72"/>
      <c r="E8" s="72"/>
      <c r="F8" s="72"/>
      <c r="G8" s="72"/>
      <c r="H8" s="72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</row>
    <row r="11" spans="1:36" x14ac:dyDescent="0.2">
      <c r="A11" s="77" t="str">
        <f>CONCATENATE("Classification of ",SUM(D14:AC44)," ASVs")</f>
        <v>Classification of 3089 ASVs</v>
      </c>
      <c r="B11" s="77"/>
      <c r="C11" s="75" t="s">
        <v>50</v>
      </c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</row>
    <row r="12" spans="1:36" ht="101" customHeight="1" x14ac:dyDescent="0.2">
      <c r="A12" s="77"/>
      <c r="B12" s="77"/>
      <c r="C12" s="5" t="s">
        <v>0</v>
      </c>
      <c r="D12" s="73" t="s">
        <v>5</v>
      </c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4" t="s">
        <v>44</v>
      </c>
      <c r="AC12" s="74"/>
      <c r="AE12" s="41" t="s">
        <v>53</v>
      </c>
      <c r="AF12" s="41" t="s">
        <v>55</v>
      </c>
    </row>
    <row r="13" spans="1:36" ht="134" thickBot="1" x14ac:dyDescent="0.25">
      <c r="A13" s="76" t="s">
        <v>68</v>
      </c>
      <c r="B13" s="4" t="s">
        <v>0</v>
      </c>
      <c r="C13" s="5" t="s">
        <v>45</v>
      </c>
      <c r="D13" s="23" t="s">
        <v>4</v>
      </c>
      <c r="E13" s="23" t="s">
        <v>9</v>
      </c>
      <c r="F13" s="23" t="s">
        <v>10</v>
      </c>
      <c r="G13" s="23" t="s">
        <v>11</v>
      </c>
      <c r="H13" s="33" t="s">
        <v>12</v>
      </c>
      <c r="I13" s="34" t="s">
        <v>49</v>
      </c>
      <c r="J13" s="34" t="s">
        <v>40</v>
      </c>
      <c r="K13" s="23" t="s">
        <v>14</v>
      </c>
      <c r="L13" s="23" t="s">
        <v>15</v>
      </c>
      <c r="M13" s="23" t="s">
        <v>16</v>
      </c>
      <c r="N13" s="23" t="s">
        <v>18</v>
      </c>
      <c r="O13" s="23" t="s">
        <v>20</v>
      </c>
      <c r="P13" s="23" t="s">
        <v>23</v>
      </c>
      <c r="Q13" s="23" t="s">
        <v>25</v>
      </c>
      <c r="R13" s="23" t="s">
        <v>26</v>
      </c>
      <c r="S13" s="23" t="s">
        <v>27</v>
      </c>
      <c r="T13" s="23" t="s">
        <v>28</v>
      </c>
      <c r="U13" s="23" t="s">
        <v>29</v>
      </c>
      <c r="V13" s="23" t="s">
        <v>30</v>
      </c>
      <c r="W13" s="34" t="s">
        <v>41</v>
      </c>
      <c r="X13" s="23" t="s">
        <v>35</v>
      </c>
      <c r="Y13" s="34" t="s">
        <v>42</v>
      </c>
      <c r="Z13" s="34" t="s">
        <v>43</v>
      </c>
      <c r="AA13" s="35" t="s">
        <v>8</v>
      </c>
      <c r="AB13" s="23" t="s">
        <v>2</v>
      </c>
      <c r="AC13" s="34" t="s">
        <v>39</v>
      </c>
      <c r="AE13" s="41"/>
      <c r="AF13" s="41"/>
      <c r="AI13" s="3" t="s">
        <v>56</v>
      </c>
      <c r="AJ13" s="3" t="s">
        <v>57</v>
      </c>
    </row>
    <row r="14" spans="1:36" ht="17" thickBot="1" x14ac:dyDescent="0.25">
      <c r="A14" s="76"/>
      <c r="B14" s="6" t="s">
        <v>3</v>
      </c>
      <c r="C14" s="22" t="s">
        <v>4</v>
      </c>
      <c r="D14" s="36">
        <v>22</v>
      </c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57"/>
      <c r="Z14" s="57"/>
      <c r="AA14" s="57">
        <v>1</v>
      </c>
      <c r="AB14" s="37"/>
      <c r="AC14" s="37"/>
      <c r="AE14" s="42">
        <f>D14</f>
        <v>22</v>
      </c>
      <c r="AF14" s="47">
        <f>D14</f>
        <v>22</v>
      </c>
      <c r="AH14" s="3" t="s">
        <v>60</v>
      </c>
      <c r="AI14" s="64">
        <f>SUM(D14:X44,AB14:AC44)</f>
        <v>2760</v>
      </c>
      <c r="AJ14" s="3">
        <f>SUM(D14:AC43)</f>
        <v>2827</v>
      </c>
    </row>
    <row r="15" spans="1:36" x14ac:dyDescent="0.2">
      <c r="A15" s="76"/>
      <c r="B15" s="7" t="s">
        <v>6</v>
      </c>
      <c r="C15" s="30" t="s">
        <v>10</v>
      </c>
      <c r="D15" s="38"/>
      <c r="E15" s="10"/>
      <c r="F15" s="11">
        <v>1</v>
      </c>
      <c r="G15" s="12"/>
      <c r="H15" s="12"/>
      <c r="I15" s="12"/>
      <c r="J15" s="13"/>
      <c r="Y15" s="56"/>
      <c r="Z15" s="56"/>
      <c r="AA15" s="1">
        <v>3</v>
      </c>
      <c r="AE15" s="42">
        <f>F15</f>
        <v>1</v>
      </c>
      <c r="AF15" s="65">
        <f>SUM(E15:J20)</f>
        <v>826</v>
      </c>
      <c r="AH15" s="3" t="s">
        <v>58</v>
      </c>
      <c r="AI15" s="3">
        <f>SUM(D14:Z44,AB14:AC44)</f>
        <v>2776</v>
      </c>
      <c r="AJ15" s="3">
        <f>SUM(D14:AC19,D21:AC23,D25:AC29,D31:AC35,D37:AC40,D42:AC43)</f>
        <v>2489</v>
      </c>
    </row>
    <row r="16" spans="1:36" x14ac:dyDescent="0.2">
      <c r="A16" s="76"/>
      <c r="B16" s="78" t="s">
        <v>6</v>
      </c>
      <c r="C16" s="31" t="s">
        <v>7</v>
      </c>
      <c r="D16" s="38"/>
      <c r="E16" s="14">
        <v>6</v>
      </c>
      <c r="G16" s="3">
        <v>2</v>
      </c>
      <c r="H16" s="3">
        <v>3</v>
      </c>
      <c r="J16" s="15">
        <v>8</v>
      </c>
      <c r="Y16" s="56"/>
      <c r="Z16" s="56"/>
      <c r="AA16" s="1">
        <v>10</v>
      </c>
      <c r="AE16" s="42" t="s">
        <v>54</v>
      </c>
      <c r="AF16" s="66"/>
    </row>
    <row r="17" spans="1:36" x14ac:dyDescent="0.2">
      <c r="A17" s="76"/>
      <c r="B17" s="78"/>
      <c r="C17" s="22" t="s">
        <v>9</v>
      </c>
      <c r="D17" s="38"/>
      <c r="E17" s="16">
        <v>16</v>
      </c>
      <c r="J17" s="15"/>
      <c r="Y17" s="56">
        <v>1</v>
      </c>
      <c r="Z17" s="56"/>
      <c r="AA17" s="56"/>
      <c r="AE17" s="42">
        <f>E17</f>
        <v>16</v>
      </c>
      <c r="AF17" s="66"/>
      <c r="AH17" s="64" t="s">
        <v>59</v>
      </c>
    </row>
    <row r="18" spans="1:36" x14ac:dyDescent="0.2">
      <c r="A18" s="76"/>
      <c r="B18" s="78"/>
      <c r="C18" s="22" t="s">
        <v>11</v>
      </c>
      <c r="D18" s="38"/>
      <c r="E18" s="14">
        <v>1</v>
      </c>
      <c r="G18" s="2">
        <v>164</v>
      </c>
      <c r="J18" s="15">
        <v>13</v>
      </c>
      <c r="Y18" s="56"/>
      <c r="Z18" s="56"/>
      <c r="AA18" s="56">
        <v>10</v>
      </c>
      <c r="AE18" s="42">
        <f>G18</f>
        <v>164</v>
      </c>
      <c r="AF18" s="66"/>
    </row>
    <row r="19" spans="1:36" x14ac:dyDescent="0.2">
      <c r="A19" s="76"/>
      <c r="B19" s="78"/>
      <c r="C19" s="22" t="s">
        <v>12</v>
      </c>
      <c r="D19" s="38"/>
      <c r="E19" s="14">
        <v>4</v>
      </c>
      <c r="G19" s="3">
        <v>2</v>
      </c>
      <c r="H19" s="2">
        <v>533</v>
      </c>
      <c r="I19" s="1">
        <v>19</v>
      </c>
      <c r="J19" s="15"/>
      <c r="Y19" s="56"/>
      <c r="Z19" s="56"/>
      <c r="AA19" s="56">
        <v>4</v>
      </c>
      <c r="AE19" s="42">
        <f>H19</f>
        <v>533</v>
      </c>
      <c r="AF19" s="66"/>
    </row>
    <row r="20" spans="1:36" ht="17" thickBot="1" x14ac:dyDescent="0.25">
      <c r="A20" s="76"/>
      <c r="B20" s="78"/>
      <c r="C20" s="32" t="s">
        <v>8</v>
      </c>
      <c r="D20" s="38"/>
      <c r="E20" s="17">
        <v>10</v>
      </c>
      <c r="F20" s="18"/>
      <c r="G20" s="18">
        <v>3</v>
      </c>
      <c r="H20" s="18">
        <v>17</v>
      </c>
      <c r="I20" s="18">
        <v>1</v>
      </c>
      <c r="J20" s="19">
        <v>23</v>
      </c>
      <c r="Y20" s="56"/>
      <c r="Z20" s="56"/>
      <c r="AA20" s="56">
        <v>6</v>
      </c>
      <c r="AE20" s="42" t="s">
        <v>54</v>
      </c>
      <c r="AF20" s="67"/>
      <c r="AH20" s="56" t="s">
        <v>64</v>
      </c>
      <c r="AI20" s="3">
        <f>SUM(Y14:AA43)</f>
        <v>264</v>
      </c>
      <c r="AJ20" s="44">
        <f>AI20/SUM(D14:AC44)</f>
        <v>8.5464551634833283E-2</v>
      </c>
    </row>
    <row r="21" spans="1:36" x14ac:dyDescent="0.2">
      <c r="A21" s="76"/>
      <c r="B21" s="78" t="s">
        <v>13</v>
      </c>
      <c r="C21" s="22" t="s">
        <v>14</v>
      </c>
      <c r="D21" s="38"/>
      <c r="K21" s="20"/>
      <c r="L21" s="12"/>
      <c r="M21" s="13"/>
      <c r="Y21" s="56"/>
      <c r="Z21" s="56"/>
      <c r="AA21" s="56"/>
      <c r="AE21" s="42" t="s">
        <v>54</v>
      </c>
      <c r="AF21" s="65">
        <f>SUM(K21:M24)</f>
        <v>1</v>
      </c>
      <c r="AH21" s="58" t="s">
        <v>65</v>
      </c>
      <c r="AI21" s="3">
        <f>SUM(AB44:AC44,D44:X44)</f>
        <v>197</v>
      </c>
      <c r="AJ21" s="44">
        <f>AI21/SUM(D14:AC44)</f>
        <v>6.3774684363871806E-2</v>
      </c>
    </row>
    <row r="22" spans="1:36" x14ac:dyDescent="0.2">
      <c r="A22" s="76"/>
      <c r="B22" s="78"/>
      <c r="C22" s="22" t="s">
        <v>15</v>
      </c>
      <c r="D22" s="38"/>
      <c r="J22" s="3">
        <v>2</v>
      </c>
      <c r="K22" s="14"/>
      <c r="L22" s="2">
        <v>1</v>
      </c>
      <c r="M22" s="15"/>
      <c r="U22" s="3">
        <v>1</v>
      </c>
      <c r="Y22" s="56"/>
      <c r="Z22" s="56"/>
      <c r="AA22" s="56">
        <v>5</v>
      </c>
      <c r="AE22" s="40">
        <f>L22</f>
        <v>1</v>
      </c>
      <c r="AF22" s="66"/>
      <c r="AH22" s="62" t="s">
        <v>67</v>
      </c>
      <c r="AI22" s="3">
        <f>SUM(Y44:AA44)</f>
        <v>65</v>
      </c>
      <c r="AJ22" s="44">
        <f>AI22/SUM(D14:AC44)</f>
        <v>2.1042408546455164E-2</v>
      </c>
    </row>
    <row r="23" spans="1:36" x14ac:dyDescent="0.2">
      <c r="A23" s="76"/>
      <c r="B23" s="78"/>
      <c r="C23" s="22" t="s">
        <v>16</v>
      </c>
      <c r="D23" s="38"/>
      <c r="K23" s="14"/>
      <c r="M23" s="21"/>
      <c r="Y23" s="56"/>
      <c r="Z23" s="56"/>
      <c r="AA23" s="56">
        <v>2</v>
      </c>
      <c r="AE23" s="42" t="s">
        <v>54</v>
      </c>
      <c r="AF23" s="66"/>
      <c r="AH23" s="3" t="s">
        <v>66</v>
      </c>
      <c r="AI23" s="3">
        <f>(SUM(D14:AC44)-SUM(AI20:AI22,AF45))</f>
        <v>62</v>
      </c>
      <c r="AJ23" s="44">
        <f>AI23/SUM(D14:AC44)</f>
        <v>2.0071220459695695E-2</v>
      </c>
    </row>
    <row r="24" spans="1:36" ht="17" thickBot="1" x14ac:dyDescent="0.25">
      <c r="A24" s="76"/>
      <c r="B24" s="78"/>
      <c r="C24" s="32" t="s">
        <v>8</v>
      </c>
      <c r="D24" s="38"/>
      <c r="K24" s="17"/>
      <c r="L24" s="18"/>
      <c r="M24" s="19"/>
      <c r="U24" s="3">
        <v>2</v>
      </c>
      <c r="Y24" s="56"/>
      <c r="Z24" s="56"/>
      <c r="AA24" s="56"/>
      <c r="AE24" s="42" t="s">
        <v>54</v>
      </c>
      <c r="AF24" s="67"/>
    </row>
    <row r="25" spans="1:36" ht="17" thickBot="1" x14ac:dyDescent="0.25">
      <c r="A25" s="76"/>
      <c r="B25" s="6" t="s">
        <v>17</v>
      </c>
      <c r="C25" s="22" t="s">
        <v>18</v>
      </c>
      <c r="D25" s="38"/>
      <c r="N25" s="24">
        <v>135</v>
      </c>
      <c r="X25" s="3">
        <v>6</v>
      </c>
      <c r="Y25" s="56"/>
      <c r="Z25" s="56"/>
      <c r="AA25" s="56">
        <v>5</v>
      </c>
      <c r="AE25" s="40">
        <f>N25</f>
        <v>135</v>
      </c>
      <c r="AF25" s="48">
        <f>N25</f>
        <v>135</v>
      </c>
    </row>
    <row r="26" spans="1:36" ht="17" thickBot="1" x14ac:dyDescent="0.25">
      <c r="A26" s="76"/>
      <c r="B26" s="6" t="s">
        <v>19</v>
      </c>
      <c r="C26" s="22" t="s">
        <v>20</v>
      </c>
      <c r="D26" s="38"/>
      <c r="O26" s="24"/>
      <c r="Y26" s="56"/>
      <c r="Z26" s="56"/>
      <c r="AA26" s="56"/>
      <c r="AE26" s="42">
        <f>O26</f>
        <v>0</v>
      </c>
      <c r="AF26" s="42">
        <f>O26</f>
        <v>0</v>
      </c>
    </row>
    <row r="27" spans="1:36" ht="17" thickBot="1" x14ac:dyDescent="0.25">
      <c r="A27" s="76"/>
      <c r="B27" s="8" t="s">
        <v>21</v>
      </c>
      <c r="C27" s="31" t="s">
        <v>22</v>
      </c>
      <c r="D27" s="38"/>
      <c r="P27" s="53">
        <v>1</v>
      </c>
      <c r="Q27" s="52"/>
      <c r="U27" s="3">
        <v>1</v>
      </c>
      <c r="W27" s="3">
        <v>2</v>
      </c>
      <c r="Y27" s="56"/>
      <c r="Z27" s="56">
        <v>3</v>
      </c>
      <c r="AA27" s="56">
        <v>7</v>
      </c>
      <c r="AE27" s="42" t="s">
        <v>54</v>
      </c>
      <c r="AF27" s="63">
        <f>SUM(P27:Q27)</f>
        <v>1</v>
      </c>
    </row>
    <row r="28" spans="1:36" x14ac:dyDescent="0.2">
      <c r="A28" s="76"/>
      <c r="B28" s="78" t="s">
        <v>24</v>
      </c>
      <c r="C28" s="22" t="s">
        <v>25</v>
      </c>
      <c r="D28" s="38"/>
      <c r="P28" s="14">
        <v>1</v>
      </c>
      <c r="Q28" s="21">
        <v>2</v>
      </c>
      <c r="U28" s="3">
        <v>2</v>
      </c>
      <c r="X28" s="3">
        <v>8</v>
      </c>
      <c r="Y28" s="56"/>
      <c r="Z28" s="56"/>
      <c r="AA28" s="56">
        <v>9</v>
      </c>
      <c r="AE28" s="40">
        <f>Q28</f>
        <v>2</v>
      </c>
      <c r="AF28" s="66">
        <f>SUM(P28:Q30)</f>
        <v>14</v>
      </c>
    </row>
    <row r="29" spans="1:36" x14ac:dyDescent="0.2">
      <c r="A29" s="76"/>
      <c r="B29" s="78"/>
      <c r="C29" s="22" t="s">
        <v>23</v>
      </c>
      <c r="D29" s="38"/>
      <c r="P29" s="16">
        <v>9</v>
      </c>
      <c r="Q29" s="15"/>
      <c r="Y29" s="56"/>
      <c r="Z29" s="56"/>
      <c r="AA29" s="56">
        <v>3</v>
      </c>
      <c r="AE29" s="40">
        <f>P29</f>
        <v>9</v>
      </c>
      <c r="AF29" s="66"/>
    </row>
    <row r="30" spans="1:36" ht="17" thickBot="1" x14ac:dyDescent="0.25">
      <c r="A30" s="76"/>
      <c r="B30" s="78"/>
      <c r="C30" s="32" t="s">
        <v>8</v>
      </c>
      <c r="D30" s="38"/>
      <c r="P30" s="17">
        <v>1</v>
      </c>
      <c r="Q30" s="19">
        <v>1</v>
      </c>
      <c r="U30" s="3">
        <v>6</v>
      </c>
      <c r="Y30" s="56"/>
      <c r="Z30" s="56"/>
      <c r="AA30" s="56">
        <v>14</v>
      </c>
      <c r="AE30" s="42" t="s">
        <v>54</v>
      </c>
      <c r="AF30" s="67"/>
    </row>
    <row r="31" spans="1:36" x14ac:dyDescent="0.2">
      <c r="A31" s="76"/>
      <c r="B31" s="78" t="s">
        <v>5</v>
      </c>
      <c r="C31" s="22" t="s">
        <v>26</v>
      </c>
      <c r="D31" s="38"/>
      <c r="R31" s="20">
        <v>5</v>
      </c>
      <c r="S31" s="12"/>
      <c r="T31" s="12"/>
      <c r="U31" s="12">
        <v>17</v>
      </c>
      <c r="V31" s="12">
        <v>1</v>
      </c>
      <c r="W31" s="13">
        <v>2</v>
      </c>
      <c r="Y31" s="56"/>
      <c r="Z31" s="56"/>
      <c r="AA31" s="56">
        <v>17</v>
      </c>
      <c r="AC31" s="3">
        <v>3</v>
      </c>
      <c r="AE31" s="40">
        <f>R31</f>
        <v>5</v>
      </c>
      <c r="AF31" s="65">
        <f>SUM(R31:W36)</f>
        <v>208</v>
      </c>
    </row>
    <row r="32" spans="1:36" x14ac:dyDescent="0.2">
      <c r="A32" s="76"/>
      <c r="B32" s="78"/>
      <c r="C32" s="22" t="s">
        <v>27</v>
      </c>
      <c r="D32" s="38"/>
      <c r="R32" s="14">
        <v>1</v>
      </c>
      <c r="S32" s="2">
        <v>4</v>
      </c>
      <c r="U32" s="3">
        <v>8</v>
      </c>
      <c r="W32" s="15">
        <v>2</v>
      </c>
      <c r="Y32" s="56"/>
      <c r="Z32" s="56"/>
      <c r="AA32" s="56">
        <v>3</v>
      </c>
      <c r="AE32" s="40">
        <f>S32</f>
        <v>4</v>
      </c>
      <c r="AF32" s="66"/>
    </row>
    <row r="33" spans="1:32" x14ac:dyDescent="0.2">
      <c r="A33" s="76"/>
      <c r="B33" s="78"/>
      <c r="C33" s="22" t="s">
        <v>28</v>
      </c>
      <c r="D33" s="38"/>
      <c r="R33" s="14"/>
      <c r="T33" s="2">
        <v>3</v>
      </c>
      <c r="U33" s="3">
        <v>12</v>
      </c>
      <c r="W33" s="15">
        <v>20</v>
      </c>
      <c r="X33" s="3">
        <v>12</v>
      </c>
      <c r="Y33" s="56"/>
      <c r="Z33" s="56">
        <v>1</v>
      </c>
      <c r="AA33" s="56">
        <v>16</v>
      </c>
      <c r="AE33" s="40">
        <f>T33</f>
        <v>3</v>
      </c>
      <c r="AF33" s="66"/>
    </row>
    <row r="34" spans="1:32" x14ac:dyDescent="0.2">
      <c r="A34" s="76"/>
      <c r="B34" s="78"/>
      <c r="C34" s="22" t="s">
        <v>29</v>
      </c>
      <c r="D34" s="38"/>
      <c r="R34" s="14"/>
      <c r="S34" s="3">
        <v>1</v>
      </c>
      <c r="U34" s="2">
        <v>10</v>
      </c>
      <c r="W34" s="15"/>
      <c r="Y34" s="56"/>
      <c r="Z34" s="56"/>
      <c r="AA34" s="56">
        <v>1</v>
      </c>
      <c r="AE34" s="40">
        <f>U34</f>
        <v>10</v>
      </c>
      <c r="AF34" s="66"/>
    </row>
    <row r="35" spans="1:32" x14ac:dyDescent="0.2">
      <c r="A35" s="76"/>
      <c r="B35" s="78"/>
      <c r="C35" s="22" t="s">
        <v>30</v>
      </c>
      <c r="D35" s="38"/>
      <c r="R35" s="25"/>
      <c r="U35" s="3">
        <v>4</v>
      </c>
      <c r="V35" s="2">
        <v>3</v>
      </c>
      <c r="W35" s="15"/>
      <c r="Y35" s="56"/>
      <c r="Z35" s="56"/>
      <c r="AA35" s="56">
        <v>3</v>
      </c>
      <c r="AE35" s="40">
        <f>V35</f>
        <v>3</v>
      </c>
      <c r="AF35" s="66"/>
    </row>
    <row r="36" spans="1:32" ht="17" thickBot="1" x14ac:dyDescent="0.25">
      <c r="A36" s="76"/>
      <c r="B36" s="78"/>
      <c r="C36" s="32" t="s">
        <v>8</v>
      </c>
      <c r="D36" s="38">
        <v>1</v>
      </c>
      <c r="R36" s="14"/>
      <c r="S36" s="3">
        <v>1</v>
      </c>
      <c r="T36" s="3">
        <v>1</v>
      </c>
      <c r="U36" s="3">
        <v>99</v>
      </c>
      <c r="V36" s="3">
        <v>1</v>
      </c>
      <c r="W36" s="15">
        <v>13</v>
      </c>
      <c r="Y36" s="56"/>
      <c r="Z36" s="56">
        <v>3</v>
      </c>
      <c r="AA36" s="56">
        <v>47</v>
      </c>
      <c r="AC36" s="3">
        <v>1</v>
      </c>
      <c r="AE36" s="42" t="s">
        <v>54</v>
      </c>
      <c r="AF36" s="66"/>
    </row>
    <row r="37" spans="1:32" ht="17" thickBot="1" x14ac:dyDescent="0.25">
      <c r="A37" s="76"/>
      <c r="B37" s="8" t="s">
        <v>31</v>
      </c>
      <c r="C37" s="31" t="s">
        <v>32</v>
      </c>
      <c r="D37" s="38"/>
      <c r="Q37" s="3">
        <v>1</v>
      </c>
      <c r="R37" s="49"/>
      <c r="S37" s="50"/>
      <c r="T37" s="50"/>
      <c r="U37" s="51">
        <v>77</v>
      </c>
      <c r="V37" s="50"/>
      <c r="W37" s="52"/>
      <c r="Y37" s="56"/>
      <c r="Z37" s="56"/>
      <c r="AA37" s="56">
        <v>8</v>
      </c>
      <c r="AE37" s="42" t="s">
        <v>54</v>
      </c>
      <c r="AF37" s="63">
        <f>SUM(R37:W37)</f>
        <v>77</v>
      </c>
    </row>
    <row r="38" spans="1:32" x14ac:dyDescent="0.2">
      <c r="A38" s="76"/>
      <c r="B38" s="78" t="s">
        <v>33</v>
      </c>
      <c r="C38" s="31" t="s">
        <v>34</v>
      </c>
      <c r="D38" s="38"/>
      <c r="X38" s="26">
        <v>312</v>
      </c>
      <c r="Y38" s="56"/>
      <c r="Z38" s="56">
        <v>3</v>
      </c>
      <c r="AA38" s="56">
        <v>51</v>
      </c>
      <c r="AE38" s="42" t="s">
        <v>54</v>
      </c>
      <c r="AF38" s="66">
        <f>SUM(X38:X41)</f>
        <v>1213</v>
      </c>
    </row>
    <row r="39" spans="1:32" x14ac:dyDescent="0.2">
      <c r="A39" s="76"/>
      <c r="B39" s="78"/>
      <c r="C39" s="31" t="s">
        <v>36</v>
      </c>
      <c r="D39" s="38"/>
      <c r="X39" s="27">
        <v>121</v>
      </c>
      <c r="Y39" s="56"/>
      <c r="Z39" s="56"/>
      <c r="AA39" s="56">
        <v>12</v>
      </c>
      <c r="AE39" s="42" t="s">
        <v>54</v>
      </c>
      <c r="AF39" s="66"/>
    </row>
    <row r="40" spans="1:32" x14ac:dyDescent="0.2">
      <c r="A40" s="76"/>
      <c r="B40" s="78"/>
      <c r="C40" s="22" t="s">
        <v>35</v>
      </c>
      <c r="D40" s="38"/>
      <c r="H40" s="3">
        <v>3</v>
      </c>
      <c r="R40" s="3">
        <v>1</v>
      </c>
      <c r="X40" s="28">
        <v>701</v>
      </c>
      <c r="Y40" s="56"/>
      <c r="Z40" s="56"/>
      <c r="AA40" s="56">
        <v>3</v>
      </c>
      <c r="AE40" s="40">
        <f>X40</f>
        <v>701</v>
      </c>
      <c r="AF40" s="66"/>
    </row>
    <row r="41" spans="1:32" ht="17" thickBot="1" x14ac:dyDescent="0.25">
      <c r="A41" s="76"/>
      <c r="B41" s="78"/>
      <c r="C41" s="32" t="s">
        <v>8</v>
      </c>
      <c r="D41" s="38"/>
      <c r="U41" s="3">
        <v>1</v>
      </c>
      <c r="X41" s="29">
        <v>79</v>
      </c>
      <c r="Y41" s="56"/>
      <c r="Z41" s="56"/>
      <c r="AA41" s="56">
        <v>7</v>
      </c>
      <c r="AE41" s="42" t="s">
        <v>54</v>
      </c>
      <c r="AF41" s="67"/>
    </row>
    <row r="42" spans="1:32" ht="17" thickBot="1" x14ac:dyDescent="0.25">
      <c r="A42" s="76"/>
      <c r="B42" s="6" t="s">
        <v>1</v>
      </c>
      <c r="C42" s="22" t="s">
        <v>2</v>
      </c>
      <c r="D42" s="38"/>
      <c r="Y42" s="56"/>
      <c r="Z42" s="56">
        <v>5</v>
      </c>
      <c r="AA42" s="56"/>
      <c r="AB42" s="24">
        <v>4</v>
      </c>
      <c r="AE42" s="40">
        <f>AB42</f>
        <v>4</v>
      </c>
      <c r="AF42" s="46">
        <f>AB42</f>
        <v>4</v>
      </c>
    </row>
    <row r="43" spans="1:32" x14ac:dyDescent="0.2">
      <c r="A43" s="76"/>
      <c r="B43" s="6" t="s">
        <v>37</v>
      </c>
      <c r="C43" s="22" t="s">
        <v>38</v>
      </c>
      <c r="D43" s="38"/>
      <c r="H43" s="3">
        <v>6</v>
      </c>
      <c r="Y43" s="56"/>
      <c r="Z43" s="56"/>
      <c r="AA43" s="56">
        <v>1</v>
      </c>
      <c r="AC43" s="1">
        <v>3</v>
      </c>
      <c r="AE43" s="42" t="s">
        <v>54</v>
      </c>
      <c r="AF43" s="42" t="s">
        <v>54</v>
      </c>
    </row>
    <row r="44" spans="1:32" x14ac:dyDescent="0.2">
      <c r="A44" s="76"/>
      <c r="B44" s="9" t="s">
        <v>8</v>
      </c>
      <c r="C44" s="32" t="s">
        <v>8</v>
      </c>
      <c r="D44" s="59"/>
      <c r="E44" s="60"/>
      <c r="F44" s="60"/>
      <c r="G44" s="60">
        <v>1</v>
      </c>
      <c r="H44" s="60">
        <v>44</v>
      </c>
      <c r="I44" s="60"/>
      <c r="J44" s="60">
        <v>13</v>
      </c>
      <c r="K44" s="60"/>
      <c r="L44" s="60"/>
      <c r="M44" s="60"/>
      <c r="N44" s="60"/>
      <c r="O44" s="60">
        <v>1</v>
      </c>
      <c r="P44" s="60"/>
      <c r="Q44" s="60"/>
      <c r="R44" s="60"/>
      <c r="S44" s="60"/>
      <c r="T44" s="60">
        <v>1</v>
      </c>
      <c r="U44" s="60">
        <v>26</v>
      </c>
      <c r="V44" s="60"/>
      <c r="W44" s="60">
        <v>7</v>
      </c>
      <c r="X44" s="60">
        <v>99</v>
      </c>
      <c r="Y44" s="61"/>
      <c r="Z44" s="61"/>
      <c r="AA44" s="61">
        <v>65</v>
      </c>
      <c r="AB44" s="60"/>
      <c r="AC44" s="60">
        <v>5</v>
      </c>
      <c r="AE44" s="42" t="s">
        <v>54</v>
      </c>
      <c r="AF44" s="42" t="s">
        <v>54</v>
      </c>
    </row>
    <row r="45" spans="1:32" x14ac:dyDescent="0.2">
      <c r="AE45" s="43">
        <f>SUM(AE14:AE44)</f>
        <v>1613</v>
      </c>
      <c r="AF45" s="43">
        <f>SUM(AF14:AF44)</f>
        <v>2501</v>
      </c>
    </row>
    <row r="46" spans="1:32" x14ac:dyDescent="0.2">
      <c r="AE46" s="45">
        <f>AE45/SUM(D14:AC44)</f>
        <v>0.52217546131434123</v>
      </c>
      <c r="AF46" s="45">
        <f>AF45/SUM(E14:AD44)</f>
        <v>0.81572080887149379</v>
      </c>
    </row>
  </sheetData>
  <mergeCells count="21">
    <mergeCell ref="A13:A44"/>
    <mergeCell ref="A11:B12"/>
    <mergeCell ref="B21:B24"/>
    <mergeCell ref="B28:B30"/>
    <mergeCell ref="B31:B36"/>
    <mergeCell ref="B38:B41"/>
    <mergeCell ref="B16:B20"/>
    <mergeCell ref="AF38:AF41"/>
    <mergeCell ref="B3:H3"/>
    <mergeCell ref="B4:H4"/>
    <mergeCell ref="B5:H5"/>
    <mergeCell ref="B7:H7"/>
    <mergeCell ref="B8:H8"/>
    <mergeCell ref="D12:AA12"/>
    <mergeCell ref="AB12:AC12"/>
    <mergeCell ref="C11:AC11"/>
    <mergeCell ref="L1:AC8"/>
    <mergeCell ref="AF15:AF20"/>
    <mergeCell ref="AF21:AF24"/>
    <mergeCell ref="AF28:AF30"/>
    <mergeCell ref="AF31:AF3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Dataset4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Jean-Baptiste</dc:creator>
  <cp:lastModifiedBy>Jean-Baptiste Leducq</cp:lastModifiedBy>
  <dcterms:created xsi:type="dcterms:W3CDTF">2025-05-22T20:52:32Z</dcterms:created>
  <dcterms:modified xsi:type="dcterms:W3CDTF">2025-08-06T14:40:04Z</dcterms:modified>
</cp:coreProperties>
</file>